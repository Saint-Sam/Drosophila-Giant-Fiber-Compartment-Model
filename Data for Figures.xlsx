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hidePivotFieldList="1"/>
  <mc:AlternateContent xmlns:mc="http://schemas.openxmlformats.org/markup-compatibility/2006">
    <mc:Choice Requires="x15">
      <x15ac:absPath xmlns:x15ac="http://schemas.microsoft.com/office/spreadsheetml/2010/11/ac" url="/Users/juanlopez2016/Desktop/Frazzled Paper/Frazzled:DCC revision data/"/>
    </mc:Choice>
  </mc:AlternateContent>
  <xr:revisionPtr revIDLastSave="0" documentId="13_ncr:1_{5BB43777-8776-FE43-A04A-79EA041195BF}" xr6:coauthVersionLast="47" xr6:coauthVersionMax="47" xr10:uidLastSave="{00000000-0000-0000-0000-000000000000}"/>
  <bookViews>
    <workbookView xWindow="0" yWindow="500" windowWidth="30940" windowHeight="16900" tabRatio="838" activeTab="2" xr2:uid="{85F560CD-B7E6-48FF-824F-263C91028EF6}"/>
  </bookViews>
  <sheets>
    <sheet name="All Data" sheetId="12" r:id="rId1"/>
    <sheet name="For Code Plots" sheetId="15" r:id="rId2"/>
    <sheet name="For Boxplots" sheetId="14" r:id="rId3"/>
  </sheets>
  <definedNames>
    <definedName name="_xlnm._FilterDatabase" localSheetId="0" hidden="1">'All Data'!$H$2:$I$24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2" l="1"/>
  <c r="X2" i="12"/>
  <c r="Y2" i="12"/>
  <c r="Z2" i="12"/>
  <c r="AA2" i="12"/>
  <c r="AB2" i="12"/>
  <c r="AC2" i="12"/>
  <c r="AD2" i="12"/>
  <c r="AE2" i="12"/>
  <c r="AF2" i="12"/>
  <c r="W18" i="12"/>
  <c r="X18" i="12"/>
  <c r="Y18" i="12"/>
  <c r="Z18" i="12"/>
  <c r="AA18" i="12"/>
  <c r="AB18" i="12"/>
  <c r="AC18" i="12"/>
  <c r="AD18" i="12"/>
  <c r="AE18" i="12"/>
  <c r="AF18" i="12"/>
  <c r="W53" i="12"/>
  <c r="X53" i="12"/>
  <c r="Y53" i="12"/>
  <c r="Z53" i="12"/>
  <c r="AA53" i="12"/>
  <c r="AB53" i="12"/>
  <c r="AC53" i="12"/>
  <c r="AD53" i="12"/>
  <c r="AE53" i="12"/>
  <c r="AF53" i="12"/>
  <c r="W91" i="12"/>
  <c r="X91" i="12"/>
  <c r="Y91" i="12"/>
  <c r="Z91" i="12"/>
  <c r="AA91" i="12"/>
  <c r="AB91" i="12"/>
  <c r="AC91" i="12"/>
  <c r="AD91" i="12"/>
  <c r="AE91" i="12"/>
  <c r="AF91" i="12"/>
  <c r="W104" i="12"/>
  <c r="X104" i="12"/>
  <c r="Y104" i="12"/>
  <c r="Z104" i="12"/>
  <c r="AA104" i="12"/>
  <c r="AB104" i="12"/>
  <c r="AC104" i="12"/>
  <c r="AD104" i="12"/>
  <c r="AE104" i="12"/>
  <c r="AF104" i="12"/>
  <c r="W127" i="12"/>
  <c r="X127" i="12"/>
  <c r="Y127" i="12"/>
  <c r="Z127" i="12"/>
  <c r="AA127" i="12"/>
  <c r="AB127" i="12"/>
  <c r="AC127" i="12"/>
  <c r="AD127" i="12"/>
  <c r="AE127" i="12"/>
  <c r="AF127" i="12"/>
  <c r="W134" i="12"/>
  <c r="X134" i="12"/>
  <c r="Y134" i="12"/>
  <c r="Z134" i="12"/>
  <c r="AA134" i="12"/>
  <c r="AB134" i="12"/>
  <c r="AC134" i="12"/>
  <c r="AD134" i="12"/>
  <c r="AE134" i="12"/>
  <c r="AF134" i="12"/>
  <c r="W154" i="12"/>
  <c r="X154" i="12"/>
  <c r="Y154" i="12"/>
  <c r="Z154" i="12"/>
  <c r="AA154" i="12"/>
  <c r="AB154" i="12"/>
  <c r="AC154" i="12"/>
  <c r="AD154" i="12"/>
  <c r="AE154" i="12"/>
  <c r="AF154" i="12"/>
  <c r="W165" i="12"/>
  <c r="X165" i="12"/>
  <c r="Y165" i="12"/>
  <c r="Z165" i="12"/>
  <c r="AA165" i="12"/>
  <c r="AB165" i="12"/>
  <c r="AC165" i="12"/>
  <c r="AD165" i="12"/>
  <c r="AE165" i="12"/>
  <c r="AF165" i="12"/>
  <c r="W173" i="12"/>
  <c r="X173" i="12"/>
  <c r="Y173" i="12"/>
  <c r="Z173" i="12"/>
  <c r="AA173" i="12"/>
  <c r="AB173" i="12"/>
  <c r="AC173" i="12"/>
  <c r="AD173" i="12"/>
  <c r="AE173" i="12"/>
  <c r="AF173" i="12"/>
  <c r="W195" i="12"/>
  <c r="X195" i="12"/>
  <c r="Y195" i="12"/>
  <c r="Z195" i="12"/>
  <c r="AA195" i="12"/>
  <c r="AB195" i="12"/>
  <c r="AC195" i="12"/>
  <c r="AD195" i="12"/>
  <c r="AE195" i="12"/>
  <c r="AF195" i="12"/>
  <c r="W209" i="12"/>
  <c r="X209" i="12"/>
  <c r="Y209" i="12"/>
  <c r="Z209" i="12"/>
  <c r="AA209" i="12"/>
  <c r="AB209" i="12"/>
  <c r="AC209" i="12"/>
  <c r="AD209" i="12"/>
  <c r="AE209" i="12"/>
  <c r="AF209" i="12"/>
  <c r="W219" i="12"/>
  <c r="X219" i="12"/>
  <c r="Y219" i="12"/>
  <c r="Z219" i="12"/>
  <c r="AA219" i="12"/>
  <c r="AB219" i="12"/>
  <c r="AC219" i="12"/>
  <c r="AD219" i="12"/>
  <c r="AE219" i="12"/>
  <c r="AF219" i="12"/>
  <c r="AE11" i="14"/>
  <c r="AE10" i="14"/>
  <c r="AE9" i="14"/>
  <c r="AE8" i="14"/>
  <c r="AE5" i="14"/>
  <c r="AE4" i="14"/>
  <c r="AE3" i="14"/>
  <c r="D228" i="12"/>
  <c r="D227" i="12"/>
  <c r="D226" i="12"/>
  <c r="D225" i="12"/>
  <c r="D222" i="12"/>
  <c r="D221" i="12"/>
  <c r="D220" i="12"/>
  <c r="G194" i="12"/>
  <c r="K194" i="12"/>
  <c r="G195" i="12"/>
  <c r="K195" i="12"/>
  <c r="G196" i="12"/>
  <c r="K196" i="12"/>
  <c r="G197" i="12"/>
  <c r="K197" i="12"/>
  <c r="G198" i="12"/>
  <c r="K198" i="12"/>
  <c r="G199" i="12"/>
  <c r="K199" i="12"/>
  <c r="G200" i="12"/>
  <c r="K200" i="12"/>
  <c r="G201" i="12"/>
  <c r="K201" i="12"/>
  <c r="G202" i="12"/>
  <c r="K202" i="12"/>
  <c r="G203" i="12"/>
  <c r="K203" i="12"/>
  <c r="G204" i="12"/>
  <c r="K204" i="12"/>
  <c r="G205" i="12"/>
  <c r="K205" i="12"/>
  <c r="G206" i="12"/>
  <c r="K206" i="12"/>
  <c r="G207" i="12"/>
  <c r="K207" i="12"/>
  <c r="G208" i="12"/>
  <c r="K208" i="12"/>
  <c r="G209" i="12"/>
  <c r="K209" i="12"/>
  <c r="G210" i="12"/>
  <c r="K210" i="12"/>
  <c r="G211" i="12"/>
  <c r="K211" i="12"/>
  <c r="G212" i="12"/>
  <c r="K212" i="12"/>
  <c r="G213" i="12"/>
  <c r="K213" i="12"/>
  <c r="G214" i="12"/>
  <c r="K214" i="12"/>
  <c r="G215" i="12"/>
  <c r="K215" i="12"/>
  <c r="G216" i="12"/>
  <c r="K216" i="12"/>
  <c r="G217" i="12"/>
  <c r="K217" i="12"/>
  <c r="G218" i="12"/>
  <c r="K218" i="12"/>
  <c r="K193" i="12"/>
  <c r="G193" i="12"/>
  <c r="K192" i="12"/>
  <c r="G192" i="12"/>
  <c r="K191" i="12"/>
  <c r="G191" i="12"/>
  <c r="K190" i="12"/>
  <c r="G190" i="12"/>
  <c r="K189" i="12"/>
  <c r="G189" i="12"/>
  <c r="K188" i="12"/>
  <c r="G188" i="12"/>
  <c r="K187" i="12"/>
  <c r="G187" i="12"/>
  <c r="K186" i="12"/>
  <c r="G186" i="12"/>
  <c r="K185" i="12"/>
  <c r="G185" i="12"/>
  <c r="K184" i="12"/>
  <c r="G184" i="12"/>
  <c r="K183" i="12"/>
  <c r="G183" i="12"/>
  <c r="K182" i="12"/>
  <c r="G182" i="12"/>
  <c r="K181" i="12"/>
  <c r="G181" i="12"/>
  <c r="K180" i="12"/>
  <c r="G180" i="12"/>
  <c r="K179" i="12"/>
  <c r="G179" i="12"/>
  <c r="K178" i="12"/>
  <c r="G178" i="12"/>
  <c r="K177" i="12"/>
  <c r="G177" i="12"/>
  <c r="K176" i="12"/>
  <c r="G176" i="12"/>
  <c r="K175" i="12"/>
  <c r="G175" i="12"/>
  <c r="K174" i="12"/>
  <c r="G174" i="12"/>
  <c r="K173" i="12"/>
  <c r="G173" i="12"/>
  <c r="K172" i="12"/>
  <c r="G172" i="12"/>
  <c r="K171" i="12"/>
  <c r="G171" i="12"/>
  <c r="K170" i="12"/>
  <c r="G170" i="12"/>
  <c r="K169" i="12"/>
  <c r="G169" i="12"/>
  <c r="K168" i="12"/>
  <c r="G168" i="12"/>
  <c r="K167" i="12"/>
  <c r="G167" i="12"/>
  <c r="K166" i="12"/>
  <c r="G166" i="12"/>
  <c r="K165" i="12"/>
  <c r="G165" i="12"/>
  <c r="K164" i="12"/>
  <c r="G164" i="12"/>
  <c r="K163" i="12"/>
  <c r="G163" i="12"/>
  <c r="K162" i="12"/>
  <c r="G162" i="12"/>
  <c r="K161" i="12"/>
  <c r="G161" i="12"/>
  <c r="K160" i="12"/>
  <c r="G160" i="12"/>
  <c r="K159" i="12"/>
  <c r="G159" i="12"/>
  <c r="K158" i="12"/>
  <c r="G158" i="12"/>
  <c r="K157" i="12"/>
  <c r="G157" i="12"/>
  <c r="K156" i="12"/>
  <c r="G156" i="12"/>
  <c r="K155" i="12"/>
  <c r="G155" i="12"/>
  <c r="K154" i="12"/>
  <c r="G154" i="12"/>
  <c r="K153" i="12"/>
  <c r="G153" i="12"/>
  <c r="K152" i="12"/>
  <c r="G152" i="12"/>
  <c r="K151" i="12"/>
  <c r="G151" i="12"/>
  <c r="K150" i="12"/>
  <c r="G150" i="12"/>
  <c r="K149" i="12"/>
  <c r="G149" i="12"/>
  <c r="K148" i="12"/>
  <c r="G148" i="12"/>
  <c r="K147" i="12"/>
  <c r="G147" i="12"/>
  <c r="K146" i="12"/>
  <c r="G146" i="12"/>
  <c r="K145" i="12"/>
  <c r="G145" i="12"/>
  <c r="K144" i="12"/>
  <c r="G144" i="12"/>
  <c r="K143" i="12"/>
  <c r="G143" i="12"/>
  <c r="K142" i="12"/>
  <c r="G142" i="12"/>
  <c r="K141" i="12"/>
  <c r="G141" i="12"/>
  <c r="K140" i="12"/>
  <c r="G140" i="12"/>
  <c r="K139" i="12"/>
  <c r="G139" i="12"/>
  <c r="K138" i="12"/>
  <c r="G138" i="12"/>
  <c r="K137" i="12"/>
  <c r="G137" i="12"/>
  <c r="K136" i="12"/>
  <c r="G136" i="12"/>
  <c r="K135" i="12"/>
  <c r="G135" i="12"/>
  <c r="K134" i="12"/>
  <c r="G134" i="12"/>
  <c r="K133" i="12"/>
  <c r="G133" i="12"/>
  <c r="K132" i="12"/>
  <c r="G132" i="12"/>
  <c r="K131" i="12"/>
  <c r="G131" i="12"/>
  <c r="K130" i="12"/>
  <c r="G130" i="12"/>
  <c r="K129" i="12"/>
  <c r="G129" i="12"/>
  <c r="K128" i="12"/>
  <c r="G128" i="12"/>
  <c r="K127" i="12"/>
  <c r="G127" i="12"/>
  <c r="K126" i="12"/>
  <c r="G126" i="12"/>
  <c r="K125" i="12"/>
  <c r="G125" i="12"/>
  <c r="K124" i="12"/>
  <c r="G124" i="12"/>
  <c r="K123" i="12"/>
  <c r="G123" i="12"/>
  <c r="K122" i="12"/>
  <c r="G122" i="12"/>
  <c r="K121" i="12"/>
  <c r="G121" i="12"/>
  <c r="K120" i="12"/>
  <c r="G120" i="12"/>
  <c r="K119" i="12"/>
  <c r="G119" i="12"/>
  <c r="K118" i="12"/>
  <c r="G118" i="12"/>
  <c r="K117" i="12"/>
  <c r="G117" i="12"/>
  <c r="K116" i="12"/>
  <c r="G116" i="12"/>
  <c r="K115" i="12"/>
  <c r="G115" i="12"/>
  <c r="K114" i="12"/>
  <c r="G114" i="12"/>
  <c r="K113" i="12"/>
  <c r="G113" i="12"/>
  <c r="K112" i="12"/>
  <c r="G112" i="12"/>
  <c r="K111" i="12"/>
  <c r="G111" i="12"/>
  <c r="K110" i="12"/>
  <c r="G110" i="12"/>
  <c r="K109" i="12"/>
  <c r="G109" i="12"/>
  <c r="K108" i="12"/>
  <c r="G108" i="12"/>
  <c r="K107" i="12"/>
  <c r="G107" i="12"/>
  <c r="K106" i="12"/>
  <c r="G106" i="12"/>
  <c r="K105" i="12"/>
  <c r="G105" i="12"/>
  <c r="K104" i="12"/>
  <c r="G104" i="12"/>
  <c r="K103" i="12"/>
  <c r="G103" i="12"/>
  <c r="K102" i="12"/>
  <c r="G102" i="12"/>
  <c r="K101" i="12"/>
  <c r="G101" i="12"/>
  <c r="K100" i="12"/>
  <c r="G100" i="12"/>
  <c r="K99" i="12"/>
  <c r="G99" i="12"/>
  <c r="K98" i="12"/>
  <c r="G98" i="12"/>
  <c r="K97" i="12"/>
  <c r="G97" i="12"/>
  <c r="K96" i="12"/>
  <c r="G96" i="12"/>
  <c r="K95" i="12"/>
  <c r="G95" i="12"/>
  <c r="K94" i="12"/>
  <c r="G94" i="12"/>
  <c r="K93" i="12"/>
  <c r="G93" i="12"/>
  <c r="K92" i="12"/>
  <c r="G92" i="12"/>
  <c r="K91" i="12"/>
  <c r="G91" i="12"/>
  <c r="K90" i="12"/>
  <c r="G90" i="12"/>
  <c r="K89" i="12"/>
  <c r="G89" i="12"/>
  <c r="K88" i="12"/>
  <c r="G88" i="12"/>
  <c r="K87" i="12"/>
  <c r="G87" i="12"/>
  <c r="K86" i="12"/>
  <c r="G86" i="12"/>
  <c r="K85" i="12"/>
  <c r="G85" i="12"/>
  <c r="K84" i="12"/>
  <c r="G84" i="12"/>
  <c r="K83" i="12"/>
  <c r="G83" i="12"/>
  <c r="K82" i="12"/>
  <c r="G82" i="12"/>
  <c r="K81" i="12"/>
  <c r="G81" i="12"/>
  <c r="K80" i="12"/>
  <c r="G80" i="12"/>
  <c r="K79" i="12"/>
  <c r="G79" i="12"/>
  <c r="K78" i="12"/>
  <c r="G78" i="12"/>
  <c r="K77" i="12"/>
  <c r="G77" i="12"/>
  <c r="K76" i="12"/>
  <c r="G76" i="12"/>
  <c r="K75" i="12"/>
  <c r="G75" i="12"/>
  <c r="K74" i="12"/>
  <c r="G74" i="12"/>
  <c r="K73" i="12"/>
  <c r="G73" i="12"/>
  <c r="K72" i="12"/>
  <c r="G72" i="12"/>
  <c r="K71" i="12"/>
  <c r="G71" i="12"/>
  <c r="K70" i="12"/>
  <c r="G70" i="12"/>
  <c r="K69" i="12"/>
  <c r="G69" i="12"/>
  <c r="K68" i="12"/>
  <c r="G68" i="12"/>
  <c r="K67" i="12"/>
  <c r="G67" i="12"/>
  <c r="K66" i="12"/>
  <c r="G66" i="12"/>
  <c r="K65" i="12"/>
  <c r="G65" i="12"/>
  <c r="K64" i="12"/>
  <c r="G64" i="12"/>
  <c r="K63" i="12"/>
  <c r="G63" i="12"/>
  <c r="K62" i="12"/>
  <c r="G62" i="12"/>
  <c r="K61" i="12"/>
  <c r="G61" i="12"/>
  <c r="K60" i="12"/>
  <c r="G60" i="12"/>
  <c r="K59" i="12"/>
  <c r="G59" i="12"/>
  <c r="K58" i="12"/>
  <c r="G58" i="12"/>
  <c r="K57" i="12"/>
  <c r="G57" i="12"/>
  <c r="K56" i="12"/>
  <c r="G56" i="12"/>
  <c r="K55" i="12"/>
  <c r="G55" i="12"/>
  <c r="K54" i="12"/>
  <c r="G54" i="12"/>
  <c r="K53" i="12"/>
  <c r="G53" i="12"/>
  <c r="K52" i="12"/>
  <c r="G52" i="12"/>
  <c r="K51" i="12"/>
  <c r="G51" i="12"/>
  <c r="K50" i="12"/>
  <c r="G50" i="12"/>
  <c r="K49" i="12"/>
  <c r="G49" i="12"/>
  <c r="K48" i="12"/>
  <c r="G48" i="12"/>
  <c r="K47" i="12"/>
  <c r="G47" i="12"/>
  <c r="K46" i="12"/>
  <c r="G46" i="12"/>
  <c r="K45" i="12"/>
  <c r="G45" i="12"/>
  <c r="K44" i="12"/>
  <c r="G44" i="12"/>
  <c r="K43" i="12"/>
  <c r="G43" i="12"/>
  <c r="K42" i="12"/>
  <c r="G42" i="12"/>
  <c r="K41" i="12"/>
  <c r="G41" i="12"/>
  <c r="K40" i="12"/>
  <c r="G40" i="12"/>
  <c r="K39" i="12"/>
  <c r="G39" i="12"/>
  <c r="K38" i="12"/>
  <c r="G38" i="12"/>
  <c r="K37" i="12"/>
  <c r="G37" i="12"/>
  <c r="K36" i="12"/>
  <c r="G36" i="12"/>
  <c r="K35" i="12"/>
  <c r="G35" i="12"/>
  <c r="K34" i="12"/>
  <c r="G34" i="12"/>
  <c r="K33" i="12"/>
  <c r="G33" i="12"/>
  <c r="K32" i="12"/>
  <c r="G32" i="12"/>
  <c r="K31" i="12"/>
  <c r="G31" i="12"/>
  <c r="K30" i="12"/>
  <c r="G30" i="12"/>
  <c r="K29" i="12"/>
  <c r="G29" i="12"/>
  <c r="K28" i="12"/>
  <c r="G28" i="12"/>
  <c r="K27" i="12"/>
  <c r="G27" i="12"/>
  <c r="K26" i="12"/>
  <c r="G26" i="12"/>
  <c r="K25" i="12"/>
  <c r="G25" i="12"/>
  <c r="K24" i="12"/>
  <c r="G24" i="12"/>
  <c r="K23" i="12"/>
  <c r="G23" i="12"/>
  <c r="K22" i="12"/>
  <c r="G22" i="12"/>
  <c r="K21" i="12"/>
  <c r="G21" i="12"/>
  <c r="K20" i="12"/>
  <c r="G20" i="12"/>
  <c r="K19" i="12"/>
  <c r="G19" i="12"/>
  <c r="K18" i="12"/>
  <c r="G18" i="12"/>
  <c r="K17" i="12"/>
  <c r="G17" i="12"/>
  <c r="K16" i="12"/>
  <c r="G16" i="12"/>
  <c r="K15" i="12"/>
  <c r="G15" i="12"/>
  <c r="K14" i="12"/>
  <c r="G14" i="12"/>
  <c r="K13" i="12"/>
  <c r="G13" i="12"/>
  <c r="K12" i="12"/>
  <c r="G12" i="12"/>
  <c r="K11" i="12"/>
  <c r="G11" i="12"/>
  <c r="K10" i="12"/>
  <c r="G10" i="12"/>
  <c r="K9" i="12"/>
  <c r="G9" i="12"/>
  <c r="K8" i="12"/>
  <c r="G8" i="12"/>
  <c r="K7" i="12"/>
  <c r="G7" i="12"/>
  <c r="K6" i="12"/>
  <c r="G6" i="12"/>
  <c r="K5" i="12"/>
  <c r="G5" i="12"/>
  <c r="K4" i="12"/>
  <c r="G4" i="12"/>
  <c r="G3" i="12"/>
  <c r="K3" i="12"/>
  <c r="K2" i="12"/>
  <c r="G2" i="12"/>
</calcChain>
</file>

<file path=xl/sharedStrings.xml><?xml version="1.0" encoding="utf-8"?>
<sst xmlns="http://schemas.openxmlformats.org/spreadsheetml/2006/main" count="769" uniqueCount="75">
  <si>
    <t>Sample #</t>
  </si>
  <si>
    <t>Genotype</t>
  </si>
  <si>
    <t>Name</t>
  </si>
  <si>
    <t>Latency Average</t>
  </si>
  <si>
    <t>Gap Junction %</t>
  </si>
  <si>
    <t>WT or Bilateral</t>
  </si>
  <si>
    <t>100 Hz Average</t>
  </si>
  <si>
    <t>100 Hz Last Five</t>
  </si>
  <si>
    <t>100 Hz Trial 1</t>
  </si>
  <si>
    <t>100 Hz Trial 2</t>
  </si>
  <si>
    <t>100 Hz Trial 3</t>
  </si>
  <si>
    <t>100 Hz Trial 4</t>
  </si>
  <si>
    <t>100 Hz Trial 5</t>
  </si>
  <si>
    <t>100 Hz Trial 6</t>
  </si>
  <si>
    <t>100 Hz Trial 7</t>
  </si>
  <si>
    <t>100 Hz Trial 8</t>
  </si>
  <si>
    <t>100 Hz Trial 9</t>
  </si>
  <si>
    <t>100 Hz Trial 10</t>
  </si>
  <si>
    <r>
      <t xml:space="preserve">w; </t>
    </r>
    <r>
      <rPr>
        <i/>
        <sz val="11"/>
        <color rgb="FF000000"/>
        <rFont val="Calibri"/>
        <family val="2"/>
      </rPr>
      <t>fra3/</t>
    </r>
    <r>
      <rPr>
        <sz val="11"/>
        <color rgb="FF000000"/>
        <rFont val="Calibri"/>
        <family val="2"/>
      </rPr>
      <t>CyO; R91H05:GFP/+</t>
    </r>
  </si>
  <si>
    <t>Heterozygous Sibling (n = 16 GFs)</t>
  </si>
  <si>
    <t>WT</t>
  </si>
  <si>
    <r>
      <t>w; fra3/4</t>
    </r>
    <r>
      <rPr>
        <sz val="11"/>
        <color rgb="FF000000"/>
        <rFont val="Calibri"/>
        <family val="2"/>
      </rPr>
      <t>; R91H05:GFP/+</t>
    </r>
  </si>
  <si>
    <t>Frazzled LOF (n = 35 GFs)</t>
  </si>
  <si>
    <t>Bilateral</t>
  </si>
  <si>
    <r>
      <t>w; fra3/4</t>
    </r>
    <r>
      <rPr>
        <sz val="11"/>
        <color rgb="FF000000"/>
        <rFont val="Calibri"/>
        <family val="2"/>
      </rPr>
      <t>; R91H05:GFP/UAS-Frazzled</t>
    </r>
  </si>
  <si>
    <t>Full length Frazzled (n = 38 GFs)</t>
  </si>
  <si>
    <r>
      <t>w; fra3/4</t>
    </r>
    <r>
      <rPr>
        <sz val="11"/>
        <color rgb="FF000000"/>
        <rFont val="Calibri"/>
        <family val="2"/>
      </rPr>
      <t>; R91H05:GFP/UAS-FraE1354A</t>
    </r>
  </si>
  <si>
    <t>Frazzled E1354A (n = 13 GFs)</t>
  </si>
  <si>
    <r>
      <t>w; fra3/4</t>
    </r>
    <r>
      <rPr>
        <sz val="11"/>
        <color rgb="FF000000"/>
        <rFont val="Calibri"/>
        <family val="2"/>
      </rPr>
      <t>; R91H05:GFP/UAS-FraICD</t>
    </r>
  </si>
  <si>
    <t>Frazzled ICD (n = 23 GFs)</t>
  </si>
  <si>
    <r>
      <t>w; fra3/4</t>
    </r>
    <r>
      <rPr>
        <sz val="11"/>
        <color rgb="FF000000"/>
        <rFont val="Calibri"/>
        <family val="2"/>
      </rPr>
      <t>; R91H05:GFP/UAS-FraΔ</t>
    </r>
    <r>
      <rPr>
        <sz val="8.9"/>
        <color rgb="FF000000"/>
        <rFont val="Calibri"/>
        <family val="2"/>
      </rPr>
      <t>P1</t>
    </r>
  </si>
  <si>
    <t>Frazzled P1 (n = 7 GFs)</t>
  </si>
  <si>
    <r>
      <t>w; fra3/4</t>
    </r>
    <r>
      <rPr>
        <sz val="11"/>
        <color rgb="FF000000"/>
        <rFont val="Calibri"/>
        <family val="2"/>
      </rPr>
      <t>; R91H05:GFP/UAS-FraΔP2</t>
    </r>
  </si>
  <si>
    <t>Frazzled P2 (n = 20 GFs)</t>
  </si>
  <si>
    <r>
      <t>w; fra3/4</t>
    </r>
    <r>
      <rPr>
        <sz val="11"/>
        <color rgb="FF000000"/>
        <rFont val="Calibri"/>
        <family val="2"/>
      </rPr>
      <t>; R91H05:GFP/UAS-FraΔP3</t>
    </r>
  </si>
  <si>
    <t>Frazzled P3 (n = 11 GFs)</t>
  </si>
  <si>
    <t>Wild-Type no Ablation</t>
  </si>
  <si>
    <t>Wild-type no ablation (n = 8 GFs)</t>
  </si>
  <si>
    <t>Wild-Type Ablated</t>
  </si>
  <si>
    <t>Wild-type Ablated (n = 22 GFs)</t>
  </si>
  <si>
    <t>ShakB2 heteroz. Ablation (n = 14 GFs)</t>
  </si>
  <si>
    <t>ShakB2 Ablation</t>
  </si>
  <si>
    <t>Heterozygous Sibling (n = 16 terminals)</t>
  </si>
  <si>
    <t>Frazzled LOF (n = 35 terminals)</t>
  </si>
  <si>
    <t>Full length Frazzled (n = 38 terminals)</t>
  </si>
  <si>
    <t>Frazzled E1354A (n = 13 terminals)</t>
  </si>
  <si>
    <t>Frazzled ICD (n = 23 terminals)</t>
  </si>
  <si>
    <t>Frazzled P1 (n = 7 terminals)</t>
  </si>
  <si>
    <t>Frazzled P2 (n = 20 terminals)</t>
  </si>
  <si>
    <t>Frazzled P3 (n = 11 terminals)</t>
  </si>
  <si>
    <t>Wild-type no ablation (n = 8 terminals)</t>
  </si>
  <si>
    <t>Wild-type Ablated (n = 22 terminals)</t>
  </si>
  <si>
    <t>ShakB2 heteroz. Ablation (n = 14 terminals)</t>
  </si>
  <si>
    <t>ShakB2 Ablation (n = 10 terminals)</t>
  </si>
  <si>
    <t>E1354A Sibs</t>
  </si>
  <si>
    <t>E1354A (n = 10 terminals)</t>
  </si>
  <si>
    <t>100 Hz Genotype Total Trial 1</t>
  </si>
  <si>
    <t>100 Hz Genotype Total Trial 2</t>
  </si>
  <si>
    <t>100 Hz Genotype Total Trial 10</t>
  </si>
  <si>
    <t>100 Hz Genotype Total Trial 3</t>
  </si>
  <si>
    <t>100 Hz Genotype Total Trial 4</t>
  </si>
  <si>
    <t>100 Hz Genotype Total Trial 5</t>
  </si>
  <si>
    <t>100 Hz Genotype Total Trial 6</t>
  </si>
  <si>
    <t>100 Hz Genotype Total Trial 7</t>
  </si>
  <si>
    <t>100 Hz Genotype Total Trial 8</t>
  </si>
  <si>
    <t>100 Hz Genotype Total Trial 9</t>
  </si>
  <si>
    <t>ShakB2 heteroz. Ablation</t>
  </si>
  <si>
    <t>Control Sibling (9.04% GJ antibody)</t>
  </si>
  <si>
    <t>Frazzled LOF (5.31% GJ antibody)</t>
  </si>
  <si>
    <t>Full length Frazzled (8.67% GJ antibody)</t>
  </si>
  <si>
    <t>Frazzled E1354A (4.18% GJ antibody)</t>
  </si>
  <si>
    <t>Frazzled ICD (10.59% GJ antibody)</t>
  </si>
  <si>
    <t>ShakB2 LOF</t>
  </si>
  <si>
    <t>ShakB2 LOF (0.10% GJ antibody)</t>
  </si>
  <si>
    <t>Genotypes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</si>
</sst>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sz val="8.9"/>
      <color rgb="FF000000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Fill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2D87-6055-400B-B731-C655A74FA55A}">
  <dimension ref="A1:AF249"/>
  <sheetViews>
    <sheetView topLeftCell="A161" zoomScale="85" zoomScaleNormal="85" workbookViewId="0">
      <selection activeCell="K190" sqref="K190"/>
    </sheetView>
  </sheetViews>
  <sheetFormatPr baseColWidth="10" defaultColWidth="8.83203125" defaultRowHeight="15" customHeight="1" x14ac:dyDescent="0.2"/>
  <cols>
    <col min="1" max="1" width="11.6640625" style="11" bestFit="1" customWidth="1"/>
    <col min="2" max="2" width="29.33203125" style="11" bestFit="1" customWidth="1"/>
    <col min="3" max="3" width="27.1640625" style="11" bestFit="1" customWidth="1"/>
    <col min="4" max="4" width="10.83203125" bestFit="1" customWidth="1"/>
    <col min="5" max="5" width="13.83203125" bestFit="1" customWidth="1"/>
    <col min="6" max="7" width="10.83203125" bestFit="1" customWidth="1"/>
    <col min="8" max="10" width="13.1640625" customWidth="1"/>
    <col min="11" max="11" width="11.1640625" bestFit="1" customWidth="1"/>
    <col min="12" max="13" width="9" bestFit="1" customWidth="1"/>
    <col min="14" max="14" width="9" customWidth="1"/>
    <col min="15" max="15" width="8.5" bestFit="1" customWidth="1"/>
    <col min="16" max="20" width="9" bestFit="1" customWidth="1"/>
    <col min="21" max="21" width="9.5" bestFit="1" customWidth="1"/>
    <col min="23" max="23" width="12.6640625" bestFit="1" customWidth="1"/>
    <col min="24" max="31" width="12.5" customWidth="1"/>
    <col min="32" max="32" width="12.6640625" customWidth="1"/>
  </cols>
  <sheetData>
    <row r="1" spans="1:32" ht="88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W1" s="2" t="s">
        <v>56</v>
      </c>
      <c r="X1" s="2" t="s">
        <v>57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58</v>
      </c>
    </row>
    <row r="2" spans="1:32" ht="16" x14ac:dyDescent="0.2">
      <c r="A2" s="6">
        <v>1</v>
      </c>
      <c r="B2" s="7" t="s">
        <v>18</v>
      </c>
      <c r="C2" s="7" t="s">
        <v>19</v>
      </c>
      <c r="D2" s="1">
        <v>0.76</v>
      </c>
      <c r="E2" s="1">
        <v>9</v>
      </c>
      <c r="F2" s="4" t="s">
        <v>20</v>
      </c>
      <c r="G2" s="1">
        <f>AVERAGE(L2:U2)*10</f>
        <v>98</v>
      </c>
      <c r="J2" s="1"/>
      <c r="K2" s="1">
        <f>AVERAGE(Q2:U2)*10</f>
        <v>96</v>
      </c>
      <c r="L2" s="1">
        <v>10</v>
      </c>
      <c r="M2" s="1">
        <v>10</v>
      </c>
      <c r="N2" s="1">
        <v>10</v>
      </c>
      <c r="O2" s="1">
        <v>10</v>
      </c>
      <c r="P2" s="1">
        <v>10</v>
      </c>
      <c r="Q2" s="1">
        <v>9</v>
      </c>
      <c r="R2" s="1">
        <v>10</v>
      </c>
      <c r="S2" s="1">
        <v>10</v>
      </c>
      <c r="T2" s="1">
        <v>9</v>
      </c>
      <c r="U2" s="1">
        <v>10</v>
      </c>
      <c r="W2">
        <f>AVERAGE(L2:L17)*10</f>
        <v>100</v>
      </c>
      <c r="X2">
        <f t="shared" ref="X2:AF2" si="0">AVERAGE(M2:M17)*10</f>
        <v>98.75</v>
      </c>
      <c r="Y2">
        <f t="shared" si="0"/>
        <v>98.75</v>
      </c>
      <c r="Z2">
        <f t="shared" si="0"/>
        <v>97.5</v>
      </c>
      <c r="AA2">
        <f t="shared" si="0"/>
        <v>98.75</v>
      </c>
      <c r="AB2">
        <f t="shared" si="0"/>
        <v>97.5</v>
      </c>
      <c r="AC2">
        <f t="shared" si="0"/>
        <v>97.5</v>
      </c>
      <c r="AD2">
        <f t="shared" si="0"/>
        <v>97.5</v>
      </c>
      <c r="AE2">
        <f t="shared" si="0"/>
        <v>96.25</v>
      </c>
      <c r="AF2">
        <f t="shared" si="0"/>
        <v>100</v>
      </c>
    </row>
    <row r="3" spans="1:32" ht="16" x14ac:dyDescent="0.2">
      <c r="A3" s="6">
        <v>2</v>
      </c>
      <c r="B3" s="7" t="s">
        <v>18</v>
      </c>
      <c r="C3" s="7" t="s">
        <v>19</v>
      </c>
      <c r="D3" s="1">
        <v>0.86</v>
      </c>
      <c r="E3" s="1">
        <v>9.2413793099999992</v>
      </c>
      <c r="F3" s="4" t="s">
        <v>20</v>
      </c>
      <c r="G3" s="1">
        <f>AVERAGE(L3:U3)*10</f>
        <v>98</v>
      </c>
      <c r="J3" s="1"/>
      <c r="K3" s="1">
        <f>AVERAGE(Q3:U3)*10</f>
        <v>96</v>
      </c>
      <c r="L3" s="1">
        <v>10</v>
      </c>
      <c r="M3" s="1">
        <v>10</v>
      </c>
      <c r="N3" s="1">
        <v>10</v>
      </c>
      <c r="O3" s="1">
        <v>10</v>
      </c>
      <c r="P3" s="1">
        <v>10</v>
      </c>
      <c r="Q3" s="1">
        <v>9</v>
      </c>
      <c r="R3" s="1">
        <v>10</v>
      </c>
      <c r="S3" s="1">
        <v>10</v>
      </c>
      <c r="T3" s="1">
        <v>9</v>
      </c>
      <c r="U3" s="1">
        <v>10</v>
      </c>
    </row>
    <row r="4" spans="1:32" ht="16" x14ac:dyDescent="0.2">
      <c r="A4" s="6">
        <v>3</v>
      </c>
      <c r="B4" s="7" t="s">
        <v>18</v>
      </c>
      <c r="C4" s="7" t="s">
        <v>19</v>
      </c>
      <c r="D4" s="1">
        <v>0.97</v>
      </c>
      <c r="E4" s="1">
        <v>5.7641921399999996</v>
      </c>
      <c r="F4" s="4" t="s">
        <v>20</v>
      </c>
      <c r="G4" s="1">
        <f>AVERAGE(L4:U4)*10</f>
        <v>99</v>
      </c>
      <c r="J4" s="1"/>
      <c r="K4" s="1">
        <f>AVERAGE(Q4:U4)*10</f>
        <v>100</v>
      </c>
      <c r="L4" s="1">
        <v>10</v>
      </c>
      <c r="M4" s="1">
        <v>9</v>
      </c>
      <c r="N4" s="1">
        <v>10</v>
      </c>
      <c r="O4" s="1">
        <v>10</v>
      </c>
      <c r="P4" s="1">
        <v>10</v>
      </c>
      <c r="Q4" s="1">
        <v>10</v>
      </c>
      <c r="R4" s="1">
        <v>10</v>
      </c>
      <c r="S4" s="1">
        <v>10</v>
      </c>
      <c r="T4" s="1">
        <v>10</v>
      </c>
      <c r="U4" s="1">
        <v>10</v>
      </c>
    </row>
    <row r="5" spans="1:32" ht="16" x14ac:dyDescent="0.2">
      <c r="A5" s="6">
        <v>4</v>
      </c>
      <c r="B5" s="7" t="s">
        <v>18</v>
      </c>
      <c r="C5" s="7" t="s">
        <v>19</v>
      </c>
      <c r="D5" s="1">
        <v>0.97</v>
      </c>
      <c r="E5" s="1">
        <v>7.5806451609999996</v>
      </c>
      <c r="F5" s="4" t="s">
        <v>20</v>
      </c>
      <c r="G5" s="1">
        <f t="shared" ref="G5:G68" si="1">AVERAGE(L5:U5)*10</f>
        <v>99</v>
      </c>
      <c r="J5" s="1"/>
      <c r="K5" s="1">
        <f t="shared" ref="K5:K68" si="2">AVERAGE(Q5:U5)*10</f>
        <v>100</v>
      </c>
      <c r="L5" s="1">
        <v>10</v>
      </c>
      <c r="M5" s="1">
        <v>10</v>
      </c>
      <c r="N5" s="1">
        <v>10</v>
      </c>
      <c r="O5" s="1">
        <v>10</v>
      </c>
      <c r="P5" s="1">
        <v>9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</row>
    <row r="6" spans="1:32" ht="16" x14ac:dyDescent="0.2">
      <c r="A6" s="6">
        <v>5</v>
      </c>
      <c r="B6" s="7" t="s">
        <v>18</v>
      </c>
      <c r="C6" s="7" t="s">
        <v>19</v>
      </c>
      <c r="D6" s="1">
        <v>0.99</v>
      </c>
      <c r="E6" s="1">
        <v>8.0851063829999994</v>
      </c>
      <c r="F6" s="4" t="s">
        <v>20</v>
      </c>
      <c r="G6" s="1">
        <f t="shared" si="1"/>
        <v>92</v>
      </c>
      <c r="J6" s="1"/>
      <c r="K6" s="1">
        <f t="shared" si="2"/>
        <v>90</v>
      </c>
      <c r="L6" s="1">
        <v>10</v>
      </c>
      <c r="M6" s="1">
        <v>10</v>
      </c>
      <c r="N6" s="1">
        <v>9</v>
      </c>
      <c r="O6" s="1">
        <v>8</v>
      </c>
      <c r="P6" s="1">
        <v>10</v>
      </c>
      <c r="Q6" s="1">
        <v>10</v>
      </c>
      <c r="R6" s="1">
        <v>8</v>
      </c>
      <c r="S6" s="1">
        <v>8</v>
      </c>
      <c r="T6" s="1">
        <v>9</v>
      </c>
      <c r="U6" s="1">
        <v>10</v>
      </c>
    </row>
    <row r="7" spans="1:32" ht="16" x14ac:dyDescent="0.2">
      <c r="A7" s="6">
        <v>6</v>
      </c>
      <c r="B7" s="7" t="s">
        <v>18</v>
      </c>
      <c r="C7" s="7" t="s">
        <v>19</v>
      </c>
      <c r="D7" s="1">
        <v>0.94</v>
      </c>
      <c r="E7" s="1">
        <v>8.1756756759999991</v>
      </c>
      <c r="F7" s="4" t="s">
        <v>20</v>
      </c>
      <c r="G7" s="1">
        <f t="shared" si="1"/>
        <v>99</v>
      </c>
      <c r="J7" s="1"/>
      <c r="K7" s="1">
        <f t="shared" si="2"/>
        <v>98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9</v>
      </c>
      <c r="R7" s="1">
        <v>10</v>
      </c>
      <c r="S7" s="1">
        <v>10</v>
      </c>
      <c r="T7" s="1">
        <v>10</v>
      </c>
      <c r="U7" s="1">
        <v>10</v>
      </c>
    </row>
    <row r="8" spans="1:32" ht="16" x14ac:dyDescent="0.2">
      <c r="A8" s="6">
        <v>7</v>
      </c>
      <c r="B8" s="7" t="s">
        <v>18</v>
      </c>
      <c r="C8" s="7" t="s">
        <v>19</v>
      </c>
      <c r="D8" s="1">
        <v>0.94</v>
      </c>
      <c r="E8" s="1">
        <v>8.2524271840000001</v>
      </c>
      <c r="F8" s="4" t="s">
        <v>20</v>
      </c>
      <c r="G8" s="1">
        <f t="shared" si="1"/>
        <v>99</v>
      </c>
      <c r="J8" s="1"/>
      <c r="K8" s="1">
        <f t="shared" si="2"/>
        <v>98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9</v>
      </c>
      <c r="U8" s="1">
        <v>10</v>
      </c>
    </row>
    <row r="9" spans="1:32" ht="16" x14ac:dyDescent="0.2">
      <c r="A9" s="6">
        <v>8</v>
      </c>
      <c r="B9" s="7" t="s">
        <v>18</v>
      </c>
      <c r="C9" s="7" t="s">
        <v>19</v>
      </c>
      <c r="D9" s="1">
        <v>0.94</v>
      </c>
      <c r="E9" s="1">
        <v>8.7005649720000005</v>
      </c>
      <c r="F9" s="4" t="s">
        <v>20</v>
      </c>
      <c r="G9" s="1">
        <f t="shared" si="1"/>
        <v>99</v>
      </c>
      <c r="J9" s="1"/>
      <c r="K9" s="1">
        <f t="shared" si="2"/>
        <v>100</v>
      </c>
      <c r="L9" s="1">
        <v>10</v>
      </c>
      <c r="M9" s="1">
        <v>9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</row>
    <row r="10" spans="1:32" ht="16" x14ac:dyDescent="0.2">
      <c r="A10" s="6">
        <v>9</v>
      </c>
      <c r="B10" s="7" t="s">
        <v>18</v>
      </c>
      <c r="C10" s="7" t="s">
        <v>19</v>
      </c>
      <c r="D10" s="1">
        <v>0.97</v>
      </c>
      <c r="E10" s="1">
        <v>8.7748344370000009</v>
      </c>
      <c r="F10" s="4" t="s">
        <v>20</v>
      </c>
      <c r="G10" s="1">
        <f t="shared" si="1"/>
        <v>92</v>
      </c>
      <c r="J10" s="1"/>
      <c r="K10" s="1">
        <f t="shared" si="2"/>
        <v>90</v>
      </c>
      <c r="L10" s="1">
        <v>10</v>
      </c>
      <c r="M10" s="1">
        <v>10</v>
      </c>
      <c r="N10" s="1">
        <v>9</v>
      </c>
      <c r="O10" s="1">
        <v>8</v>
      </c>
      <c r="P10" s="1">
        <v>10</v>
      </c>
      <c r="Q10" s="1">
        <v>10</v>
      </c>
      <c r="R10" s="1">
        <v>8</v>
      </c>
      <c r="S10" s="1">
        <v>8</v>
      </c>
      <c r="T10" s="1">
        <v>9</v>
      </c>
      <c r="U10" s="1">
        <v>10</v>
      </c>
    </row>
    <row r="11" spans="1:32" ht="16" x14ac:dyDescent="0.2">
      <c r="A11" s="6">
        <v>10</v>
      </c>
      <c r="B11" s="7" t="s">
        <v>18</v>
      </c>
      <c r="C11" s="7" t="s">
        <v>19</v>
      </c>
      <c r="D11" s="1">
        <v>0.84</v>
      </c>
      <c r="E11" s="1">
        <v>8.8306451609999996</v>
      </c>
      <c r="F11" s="4" t="s">
        <v>20</v>
      </c>
      <c r="G11" s="1">
        <f t="shared" si="1"/>
        <v>99</v>
      </c>
      <c r="J11" s="1"/>
      <c r="K11" s="1">
        <f t="shared" si="2"/>
        <v>98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  <c r="Q11" s="1">
        <v>10</v>
      </c>
      <c r="R11" s="1">
        <v>10</v>
      </c>
      <c r="S11" s="1">
        <v>10</v>
      </c>
      <c r="T11" s="1">
        <v>9</v>
      </c>
      <c r="U11" s="1">
        <v>10</v>
      </c>
    </row>
    <row r="12" spans="1:32" ht="16" x14ac:dyDescent="0.2">
      <c r="A12" s="6">
        <v>11</v>
      </c>
      <c r="B12" s="7" t="s">
        <v>18</v>
      </c>
      <c r="C12" s="7" t="s">
        <v>19</v>
      </c>
      <c r="D12" s="1">
        <v>0.94</v>
      </c>
      <c r="E12" s="1">
        <v>9.4581280789999997</v>
      </c>
      <c r="F12" s="4" t="s">
        <v>20</v>
      </c>
      <c r="G12" s="1">
        <f t="shared" si="1"/>
        <v>99</v>
      </c>
      <c r="J12" s="1"/>
      <c r="K12" s="1">
        <f t="shared" si="2"/>
        <v>100</v>
      </c>
      <c r="L12" s="1">
        <v>10</v>
      </c>
      <c r="M12" s="1">
        <v>10</v>
      </c>
      <c r="N12" s="1">
        <v>10</v>
      </c>
      <c r="O12" s="1">
        <v>10</v>
      </c>
      <c r="P12" s="1">
        <v>9</v>
      </c>
      <c r="Q12" s="1">
        <v>10</v>
      </c>
      <c r="R12" s="1">
        <v>10</v>
      </c>
      <c r="S12" s="1">
        <v>10</v>
      </c>
      <c r="T12" s="1">
        <v>10</v>
      </c>
      <c r="U12" s="1">
        <v>10</v>
      </c>
    </row>
    <row r="13" spans="1:32" ht="16" x14ac:dyDescent="0.2">
      <c r="A13" s="6">
        <v>12</v>
      </c>
      <c r="B13" s="7" t="s">
        <v>18</v>
      </c>
      <c r="C13" s="7" t="s">
        <v>19</v>
      </c>
      <c r="D13" s="1">
        <v>0.97</v>
      </c>
      <c r="E13" s="1">
        <v>9.9540229890000003</v>
      </c>
      <c r="F13" s="4" t="s">
        <v>20</v>
      </c>
      <c r="G13" s="1">
        <f t="shared" si="1"/>
        <v>100</v>
      </c>
      <c r="J13" s="1"/>
      <c r="K13" s="1">
        <f t="shared" si="2"/>
        <v>100</v>
      </c>
      <c r="L13" s="1">
        <v>10</v>
      </c>
      <c r="M13" s="1">
        <v>10</v>
      </c>
      <c r="N13" s="1">
        <v>10</v>
      </c>
      <c r="O13" s="1">
        <v>10</v>
      </c>
      <c r="P13" s="1">
        <v>10</v>
      </c>
      <c r="Q13" s="1">
        <v>10</v>
      </c>
      <c r="R13" s="1">
        <v>10</v>
      </c>
      <c r="S13" s="1">
        <v>10</v>
      </c>
      <c r="T13" s="1">
        <v>10</v>
      </c>
      <c r="U13" s="1">
        <v>10</v>
      </c>
    </row>
    <row r="14" spans="1:32" ht="16" x14ac:dyDescent="0.2">
      <c r="A14" s="6">
        <v>13</v>
      </c>
      <c r="B14" s="7" t="s">
        <v>18</v>
      </c>
      <c r="C14" s="7" t="s">
        <v>19</v>
      </c>
      <c r="D14" s="1">
        <v>0.85</v>
      </c>
      <c r="E14" s="1">
        <v>10.11152416</v>
      </c>
      <c r="F14" s="4" t="s">
        <v>20</v>
      </c>
      <c r="G14" s="1">
        <f t="shared" si="1"/>
        <v>100</v>
      </c>
      <c r="J14" s="1"/>
      <c r="K14" s="1">
        <f t="shared" si="2"/>
        <v>100</v>
      </c>
      <c r="L14" s="1">
        <v>10</v>
      </c>
      <c r="M14" s="1">
        <v>10</v>
      </c>
      <c r="N14" s="1">
        <v>10</v>
      </c>
      <c r="O14" s="1">
        <v>10</v>
      </c>
      <c r="P14" s="1">
        <v>10</v>
      </c>
      <c r="Q14" s="1">
        <v>10</v>
      </c>
      <c r="R14" s="1">
        <v>10</v>
      </c>
      <c r="S14" s="1">
        <v>10</v>
      </c>
      <c r="T14" s="1">
        <v>10</v>
      </c>
      <c r="U14" s="1">
        <v>10</v>
      </c>
    </row>
    <row r="15" spans="1:32" ht="16" x14ac:dyDescent="0.2">
      <c r="A15" s="6">
        <v>14</v>
      </c>
      <c r="B15" s="7" t="s">
        <v>18</v>
      </c>
      <c r="C15" s="7" t="s">
        <v>19</v>
      </c>
      <c r="D15" s="1">
        <v>0.96</v>
      </c>
      <c r="E15" s="1">
        <v>10.15625</v>
      </c>
      <c r="F15" s="4" t="s">
        <v>20</v>
      </c>
      <c r="G15" s="1">
        <f t="shared" si="1"/>
        <v>99</v>
      </c>
      <c r="J15" s="1"/>
      <c r="K15" s="1">
        <f t="shared" si="2"/>
        <v>98</v>
      </c>
      <c r="L15" s="1">
        <v>10</v>
      </c>
      <c r="M15" s="1">
        <v>10</v>
      </c>
      <c r="N15" s="1">
        <v>10</v>
      </c>
      <c r="O15" s="1">
        <v>10</v>
      </c>
      <c r="P15" s="1">
        <v>10</v>
      </c>
      <c r="Q15" s="1">
        <v>9</v>
      </c>
      <c r="R15" s="1">
        <v>10</v>
      </c>
      <c r="S15" s="1">
        <v>10</v>
      </c>
      <c r="T15" s="1">
        <v>10</v>
      </c>
      <c r="U15" s="1">
        <v>10</v>
      </c>
    </row>
    <row r="16" spans="1:32" ht="16" x14ac:dyDescent="0.2">
      <c r="A16" s="6">
        <v>15</v>
      </c>
      <c r="B16" s="7" t="s">
        <v>18</v>
      </c>
      <c r="C16" s="7" t="s">
        <v>19</v>
      </c>
      <c r="D16" s="1">
        <v>1.04</v>
      </c>
      <c r="E16" s="1">
        <v>11.202531649999999</v>
      </c>
      <c r="F16" s="4" t="s">
        <v>20</v>
      </c>
      <c r="G16" s="1">
        <f t="shared" si="1"/>
        <v>100</v>
      </c>
      <c r="J16" s="1"/>
      <c r="K16" s="1">
        <f t="shared" si="2"/>
        <v>100</v>
      </c>
      <c r="L16" s="1">
        <v>10</v>
      </c>
      <c r="M16" s="1">
        <v>10</v>
      </c>
      <c r="N16" s="1">
        <v>10</v>
      </c>
      <c r="O16" s="1">
        <v>10</v>
      </c>
      <c r="P16" s="1">
        <v>10</v>
      </c>
      <c r="Q16" s="1">
        <v>10</v>
      </c>
      <c r="R16" s="1">
        <v>10</v>
      </c>
      <c r="S16" s="1">
        <v>10</v>
      </c>
      <c r="T16" s="1">
        <v>10</v>
      </c>
      <c r="U16" s="1">
        <v>10</v>
      </c>
    </row>
    <row r="17" spans="1:32" ht="16" x14ac:dyDescent="0.2">
      <c r="A17" s="6">
        <v>16</v>
      </c>
      <c r="B17" s="7" t="s">
        <v>18</v>
      </c>
      <c r="C17" s="7" t="s">
        <v>19</v>
      </c>
      <c r="D17" s="1">
        <v>0.91</v>
      </c>
      <c r="E17" s="1">
        <v>11.273291929999999</v>
      </c>
      <c r="F17" s="4" t="s">
        <v>20</v>
      </c>
      <c r="G17" s="1">
        <f t="shared" si="1"/>
        <v>100</v>
      </c>
      <c r="J17" s="1"/>
      <c r="K17" s="1">
        <f t="shared" si="2"/>
        <v>100</v>
      </c>
      <c r="L17" s="1">
        <v>10</v>
      </c>
      <c r="M17" s="1">
        <v>10</v>
      </c>
      <c r="N17" s="1">
        <v>10</v>
      </c>
      <c r="O17" s="1">
        <v>10</v>
      </c>
      <c r="P17" s="1">
        <v>10</v>
      </c>
      <c r="Q17" s="1">
        <v>10</v>
      </c>
      <c r="R17" s="1">
        <v>10</v>
      </c>
      <c r="S17" s="1">
        <v>10</v>
      </c>
      <c r="T17" s="1">
        <v>10</v>
      </c>
      <c r="U17" s="1">
        <v>10</v>
      </c>
    </row>
    <row r="18" spans="1:32" ht="16" x14ac:dyDescent="0.2">
      <c r="A18" s="6">
        <v>1</v>
      </c>
      <c r="B18" s="8" t="s">
        <v>21</v>
      </c>
      <c r="C18" s="7" t="s">
        <v>22</v>
      </c>
      <c r="D18" s="1">
        <v>1.04</v>
      </c>
      <c r="E18" s="1">
        <v>0.84242424199999999</v>
      </c>
      <c r="F18" s="4" t="s">
        <v>20</v>
      </c>
      <c r="G18" s="1">
        <f t="shared" si="1"/>
        <v>27</v>
      </c>
      <c r="J18" s="1"/>
      <c r="K18" s="1">
        <f t="shared" si="2"/>
        <v>14</v>
      </c>
      <c r="L18" s="1">
        <v>8</v>
      </c>
      <c r="M18" s="1">
        <v>5</v>
      </c>
      <c r="N18" s="1">
        <v>4</v>
      </c>
      <c r="O18" s="1">
        <v>2</v>
      </c>
      <c r="P18" s="1">
        <v>1</v>
      </c>
      <c r="Q18" s="1">
        <v>3</v>
      </c>
      <c r="R18" s="1">
        <v>3</v>
      </c>
      <c r="S18" s="1">
        <v>1</v>
      </c>
      <c r="T18" s="1">
        <v>0</v>
      </c>
      <c r="U18" s="1">
        <v>0</v>
      </c>
      <c r="W18">
        <f>AVERAGE(L18:L52)*10</f>
        <v>91.714285714285708</v>
      </c>
      <c r="X18">
        <f t="shared" ref="X18:AF18" si="3">AVERAGE(M18:M52)*10</f>
        <v>76.285714285714292</v>
      </c>
      <c r="Y18">
        <f t="shared" si="3"/>
        <v>65.142857142857139</v>
      </c>
      <c r="Z18">
        <f t="shared" si="3"/>
        <v>63.428571428571423</v>
      </c>
      <c r="AA18">
        <f t="shared" si="3"/>
        <v>61.714285714285715</v>
      </c>
      <c r="AB18">
        <f t="shared" si="3"/>
        <v>58.857142857142861</v>
      </c>
      <c r="AC18">
        <f t="shared" si="3"/>
        <v>60</v>
      </c>
      <c r="AD18">
        <f t="shared" si="3"/>
        <v>59.142857142857146</v>
      </c>
      <c r="AE18">
        <f t="shared" si="3"/>
        <v>56</v>
      </c>
      <c r="AF18">
        <f t="shared" si="3"/>
        <v>54</v>
      </c>
    </row>
    <row r="19" spans="1:32" ht="16" x14ac:dyDescent="0.2">
      <c r="A19" s="6">
        <v>2</v>
      </c>
      <c r="B19" s="8" t="s">
        <v>21</v>
      </c>
      <c r="C19" s="7" t="s">
        <v>22</v>
      </c>
      <c r="D19" s="1">
        <v>1.79</v>
      </c>
      <c r="E19" s="1">
        <v>1.2677165349999999</v>
      </c>
      <c r="F19" s="4" t="s">
        <v>20</v>
      </c>
      <c r="G19" s="1">
        <f t="shared" si="1"/>
        <v>100</v>
      </c>
      <c r="J19" s="1"/>
      <c r="K19" s="1">
        <f t="shared" si="2"/>
        <v>100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>
        <v>10</v>
      </c>
      <c r="R19" s="1">
        <v>10</v>
      </c>
      <c r="S19" s="1">
        <v>10</v>
      </c>
      <c r="T19" s="1">
        <v>10</v>
      </c>
      <c r="U19" s="1">
        <v>10</v>
      </c>
    </row>
    <row r="20" spans="1:32" ht="16" x14ac:dyDescent="0.2">
      <c r="A20" s="6">
        <v>3</v>
      </c>
      <c r="B20" s="8" t="s">
        <v>21</v>
      </c>
      <c r="C20" s="7" t="s">
        <v>22</v>
      </c>
      <c r="D20" s="1">
        <v>1.27</v>
      </c>
      <c r="E20" s="1">
        <v>1.6594827590000001</v>
      </c>
      <c r="F20" s="4" t="s">
        <v>23</v>
      </c>
      <c r="G20" s="1">
        <f t="shared" si="1"/>
        <v>47</v>
      </c>
      <c r="J20" s="1"/>
      <c r="K20" s="1">
        <f t="shared" si="2"/>
        <v>42</v>
      </c>
      <c r="L20" s="1">
        <v>10</v>
      </c>
      <c r="M20" s="10">
        <v>6</v>
      </c>
      <c r="N20" s="10">
        <v>4</v>
      </c>
      <c r="O20" s="10">
        <v>3</v>
      </c>
      <c r="P20" s="10">
        <v>3</v>
      </c>
      <c r="Q20" s="10">
        <v>3</v>
      </c>
      <c r="R20" s="10">
        <v>3</v>
      </c>
      <c r="S20" s="10">
        <v>6</v>
      </c>
      <c r="T20" s="10">
        <v>5</v>
      </c>
      <c r="U20" s="10">
        <v>4</v>
      </c>
    </row>
    <row r="21" spans="1:32" ht="16" x14ac:dyDescent="0.2">
      <c r="A21" s="6">
        <v>4</v>
      </c>
      <c r="B21" s="8" t="s">
        <v>21</v>
      </c>
      <c r="C21" s="7" t="s">
        <v>22</v>
      </c>
      <c r="D21" s="1">
        <v>1.36</v>
      </c>
      <c r="E21" s="1">
        <v>1.808917197</v>
      </c>
      <c r="F21" s="4" t="s">
        <v>23</v>
      </c>
      <c r="G21" s="1">
        <f t="shared" si="1"/>
        <v>55</v>
      </c>
      <c r="J21" s="1"/>
      <c r="K21" s="1">
        <f t="shared" si="2"/>
        <v>44</v>
      </c>
      <c r="L21" s="1">
        <v>10</v>
      </c>
      <c r="M21" s="10">
        <v>8</v>
      </c>
      <c r="N21" s="10">
        <v>6</v>
      </c>
      <c r="O21" s="10">
        <v>5</v>
      </c>
      <c r="P21" s="10">
        <v>4</v>
      </c>
      <c r="Q21" s="10">
        <v>4</v>
      </c>
      <c r="R21" s="10">
        <v>6</v>
      </c>
      <c r="S21" s="10">
        <v>3</v>
      </c>
      <c r="T21" s="10">
        <v>4</v>
      </c>
      <c r="U21" s="10">
        <v>5</v>
      </c>
    </row>
    <row r="22" spans="1:32" ht="16" x14ac:dyDescent="0.2">
      <c r="A22" s="6">
        <v>5</v>
      </c>
      <c r="B22" s="8" t="s">
        <v>21</v>
      </c>
      <c r="C22" s="7" t="s">
        <v>22</v>
      </c>
      <c r="D22" s="1">
        <v>0</v>
      </c>
      <c r="E22" s="1">
        <v>1.855524079</v>
      </c>
      <c r="F22" s="4" t="s">
        <v>23</v>
      </c>
      <c r="G22" s="1">
        <f t="shared" si="1"/>
        <v>0</v>
      </c>
      <c r="J22" s="1"/>
      <c r="K22" s="1">
        <f t="shared" si="2"/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32" ht="16" x14ac:dyDescent="0.2">
      <c r="A23" s="6">
        <v>6</v>
      </c>
      <c r="B23" s="8" t="s">
        <v>21</v>
      </c>
      <c r="C23" s="7" t="s">
        <v>22</v>
      </c>
      <c r="D23" s="1">
        <v>1.49</v>
      </c>
      <c r="E23" s="1">
        <v>2.53038674</v>
      </c>
      <c r="F23" s="4" t="s">
        <v>23</v>
      </c>
      <c r="G23" s="1">
        <f t="shared" si="1"/>
        <v>20</v>
      </c>
      <c r="J23" s="1"/>
      <c r="K23" s="1">
        <f t="shared" si="2"/>
        <v>12</v>
      </c>
      <c r="L23" s="1">
        <v>9</v>
      </c>
      <c r="M23" s="1">
        <v>0</v>
      </c>
      <c r="N23" s="1">
        <v>0</v>
      </c>
      <c r="O23" s="1">
        <v>2</v>
      </c>
      <c r="P23" s="1">
        <v>3</v>
      </c>
      <c r="Q23" s="1">
        <v>0</v>
      </c>
      <c r="R23" s="1">
        <v>3</v>
      </c>
      <c r="S23" s="1">
        <v>1</v>
      </c>
      <c r="T23" s="1">
        <v>2</v>
      </c>
      <c r="U23" s="1">
        <v>0</v>
      </c>
    </row>
    <row r="24" spans="1:32" ht="16" x14ac:dyDescent="0.2">
      <c r="A24" s="6">
        <v>7</v>
      </c>
      <c r="B24" s="8" t="s">
        <v>21</v>
      </c>
      <c r="C24" s="7" t="s">
        <v>22</v>
      </c>
      <c r="D24" s="1">
        <v>2.17</v>
      </c>
      <c r="E24" s="1">
        <v>2.610619469</v>
      </c>
      <c r="F24" s="4" t="s">
        <v>20</v>
      </c>
      <c r="G24" s="1">
        <f t="shared" si="1"/>
        <v>100</v>
      </c>
      <c r="J24" s="1"/>
      <c r="K24" s="1">
        <f t="shared" si="2"/>
        <v>100</v>
      </c>
      <c r="L24" s="1">
        <v>10</v>
      </c>
      <c r="M24" s="1">
        <v>10</v>
      </c>
      <c r="N24" s="1">
        <v>10</v>
      </c>
      <c r="O24" s="1">
        <v>10</v>
      </c>
      <c r="P24" s="1">
        <v>10</v>
      </c>
      <c r="Q24" s="1">
        <v>10</v>
      </c>
      <c r="R24" s="1">
        <v>10</v>
      </c>
      <c r="S24" s="1">
        <v>10</v>
      </c>
      <c r="T24" s="1">
        <v>10</v>
      </c>
      <c r="U24" s="1">
        <v>10</v>
      </c>
    </row>
    <row r="25" spans="1:32" ht="16" x14ac:dyDescent="0.2">
      <c r="A25" s="6">
        <v>8</v>
      </c>
      <c r="B25" s="8" t="s">
        <v>21</v>
      </c>
      <c r="C25" s="7" t="s">
        <v>22</v>
      </c>
      <c r="D25" s="1">
        <v>1.48</v>
      </c>
      <c r="E25" s="1">
        <v>2.7586206899999999</v>
      </c>
      <c r="F25" s="4" t="s">
        <v>23</v>
      </c>
      <c r="G25" s="1">
        <f t="shared" si="1"/>
        <v>35</v>
      </c>
      <c r="H25" s="1"/>
      <c r="I25" s="1"/>
      <c r="J25" s="1"/>
      <c r="K25" s="1">
        <f t="shared" si="2"/>
        <v>24</v>
      </c>
      <c r="L25" s="1">
        <v>10</v>
      </c>
      <c r="M25" s="1">
        <v>7</v>
      </c>
      <c r="N25" s="1">
        <v>1</v>
      </c>
      <c r="O25" s="1">
        <v>1</v>
      </c>
      <c r="P25" s="1">
        <v>4</v>
      </c>
      <c r="Q25" s="1">
        <v>3</v>
      </c>
      <c r="R25" s="1">
        <v>2</v>
      </c>
      <c r="S25" s="1">
        <v>3</v>
      </c>
      <c r="T25" s="1">
        <v>2</v>
      </c>
      <c r="U25" s="1">
        <v>2</v>
      </c>
    </row>
    <row r="26" spans="1:32" ht="16" x14ac:dyDescent="0.2">
      <c r="A26" s="6">
        <v>9</v>
      </c>
      <c r="B26" s="8" t="s">
        <v>21</v>
      </c>
      <c r="C26" s="7" t="s">
        <v>22</v>
      </c>
      <c r="D26" s="1">
        <v>0</v>
      </c>
      <c r="E26" s="1">
        <v>2.8272251310000001</v>
      </c>
      <c r="F26" s="4" t="s">
        <v>23</v>
      </c>
      <c r="G26" s="1">
        <f t="shared" si="1"/>
        <v>0</v>
      </c>
      <c r="H26" s="1"/>
      <c r="I26" s="1"/>
      <c r="J26" s="1"/>
      <c r="K26" s="1">
        <f t="shared" si="2"/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32" ht="16" x14ac:dyDescent="0.2">
      <c r="A27" s="6">
        <v>10</v>
      </c>
      <c r="B27" s="8" t="s">
        <v>21</v>
      </c>
      <c r="C27" s="7" t="s">
        <v>22</v>
      </c>
      <c r="D27" s="1">
        <v>1.24</v>
      </c>
      <c r="E27" s="1">
        <v>3.2725060830000001</v>
      </c>
      <c r="F27" s="4" t="s">
        <v>23</v>
      </c>
      <c r="G27" s="1">
        <f t="shared" si="1"/>
        <v>23</v>
      </c>
      <c r="H27" s="1"/>
      <c r="I27" s="1"/>
      <c r="J27" s="1"/>
      <c r="K27" s="1">
        <f t="shared" si="2"/>
        <v>2</v>
      </c>
      <c r="L27" s="1">
        <v>10</v>
      </c>
      <c r="M27" s="1">
        <v>7</v>
      </c>
      <c r="N27" s="1">
        <v>2</v>
      </c>
      <c r="O27" s="1">
        <v>1</v>
      </c>
      <c r="P27" s="1">
        <v>2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</row>
    <row r="28" spans="1:32" ht="16" x14ac:dyDescent="0.2">
      <c r="A28" s="6">
        <v>11</v>
      </c>
      <c r="B28" s="8" t="s">
        <v>21</v>
      </c>
      <c r="C28" s="7" t="s">
        <v>22</v>
      </c>
      <c r="D28" s="1">
        <v>1.1200000000000001</v>
      </c>
      <c r="E28" s="1">
        <v>3.7448979590000002</v>
      </c>
      <c r="F28" s="4" t="s">
        <v>20</v>
      </c>
      <c r="G28" s="1">
        <f t="shared" si="1"/>
        <v>24</v>
      </c>
      <c r="H28" s="1"/>
      <c r="I28" s="1"/>
      <c r="J28" s="1"/>
      <c r="K28" s="1">
        <f t="shared" si="2"/>
        <v>16</v>
      </c>
      <c r="L28" s="1">
        <v>10</v>
      </c>
      <c r="M28" s="1">
        <v>0</v>
      </c>
      <c r="N28" s="1">
        <v>0</v>
      </c>
      <c r="O28" s="1">
        <v>3</v>
      </c>
      <c r="P28" s="1">
        <v>3</v>
      </c>
      <c r="Q28" s="1">
        <v>2</v>
      </c>
      <c r="R28" s="1">
        <v>3</v>
      </c>
      <c r="S28" s="1">
        <v>1</v>
      </c>
      <c r="T28" s="1">
        <v>0</v>
      </c>
      <c r="U28" s="1">
        <v>2</v>
      </c>
    </row>
    <row r="29" spans="1:32" ht="16" x14ac:dyDescent="0.2">
      <c r="A29" s="6">
        <v>12</v>
      </c>
      <c r="B29" s="8" t="s">
        <v>21</v>
      </c>
      <c r="C29" s="7" t="s">
        <v>22</v>
      </c>
      <c r="D29" s="1">
        <v>1.79</v>
      </c>
      <c r="E29" s="1">
        <v>3.7809523810000001</v>
      </c>
      <c r="F29" s="4" t="s">
        <v>23</v>
      </c>
      <c r="G29" s="1">
        <f t="shared" si="1"/>
        <v>53</v>
      </c>
      <c r="H29" s="1"/>
      <c r="I29" s="1"/>
      <c r="J29" s="1"/>
      <c r="K29" s="1">
        <f t="shared" si="2"/>
        <v>32</v>
      </c>
      <c r="L29" s="1">
        <v>10</v>
      </c>
      <c r="M29" s="1">
        <v>9</v>
      </c>
      <c r="N29" s="1">
        <v>7</v>
      </c>
      <c r="O29" s="1">
        <v>7</v>
      </c>
      <c r="P29" s="1">
        <v>4</v>
      </c>
      <c r="Q29" s="1">
        <v>3</v>
      </c>
      <c r="R29" s="1">
        <v>4</v>
      </c>
      <c r="S29" s="1">
        <v>4</v>
      </c>
      <c r="T29" s="1">
        <v>2</v>
      </c>
      <c r="U29" s="1">
        <v>3</v>
      </c>
    </row>
    <row r="30" spans="1:32" ht="16" x14ac:dyDescent="0.2">
      <c r="A30" s="6">
        <v>13</v>
      </c>
      <c r="B30" s="8" t="s">
        <v>21</v>
      </c>
      <c r="C30" s="7" t="s">
        <v>22</v>
      </c>
      <c r="D30" s="1">
        <v>1.18</v>
      </c>
      <c r="E30" s="1">
        <v>4.3216080400000001</v>
      </c>
      <c r="F30" s="4" t="s">
        <v>20</v>
      </c>
      <c r="G30" s="1">
        <f t="shared" si="1"/>
        <v>54</v>
      </c>
      <c r="H30" s="1"/>
      <c r="I30" s="1"/>
      <c r="J30" s="1"/>
      <c r="K30" s="1">
        <f t="shared" si="2"/>
        <v>34</v>
      </c>
      <c r="L30" s="1">
        <v>10</v>
      </c>
      <c r="M30" s="1">
        <v>9</v>
      </c>
      <c r="N30" s="1">
        <v>5</v>
      </c>
      <c r="O30" s="1">
        <v>6</v>
      </c>
      <c r="P30" s="1">
        <v>7</v>
      </c>
      <c r="Q30" s="1">
        <v>5</v>
      </c>
      <c r="R30" s="1">
        <v>3</v>
      </c>
      <c r="S30" s="1">
        <v>4</v>
      </c>
      <c r="T30" s="1">
        <v>3</v>
      </c>
      <c r="U30" s="1">
        <v>2</v>
      </c>
    </row>
    <row r="31" spans="1:32" ht="16" x14ac:dyDescent="0.2">
      <c r="A31" s="6">
        <v>14</v>
      </c>
      <c r="B31" s="8" t="s">
        <v>21</v>
      </c>
      <c r="C31" s="7" t="s">
        <v>22</v>
      </c>
      <c r="D31" s="1">
        <v>1.24</v>
      </c>
      <c r="E31" s="1">
        <v>4.394230769</v>
      </c>
      <c r="F31" s="4" t="s">
        <v>20</v>
      </c>
      <c r="G31" s="1">
        <f t="shared" si="1"/>
        <v>66</v>
      </c>
      <c r="H31" s="1"/>
      <c r="I31" s="1"/>
      <c r="J31" s="1"/>
      <c r="K31" s="1">
        <f t="shared" si="2"/>
        <v>50</v>
      </c>
      <c r="L31" s="1">
        <v>10</v>
      </c>
      <c r="M31" s="1">
        <v>10</v>
      </c>
      <c r="N31" s="1">
        <v>9</v>
      </c>
      <c r="O31" s="1">
        <v>6</v>
      </c>
      <c r="P31" s="1">
        <v>6</v>
      </c>
      <c r="Q31" s="1">
        <v>4</v>
      </c>
      <c r="R31" s="1">
        <v>5</v>
      </c>
      <c r="S31" s="1">
        <v>6</v>
      </c>
      <c r="T31" s="1">
        <v>5</v>
      </c>
      <c r="U31" s="1">
        <v>5</v>
      </c>
    </row>
    <row r="32" spans="1:32" ht="16" x14ac:dyDescent="0.2">
      <c r="A32" s="6">
        <v>15</v>
      </c>
      <c r="B32" s="8" t="s">
        <v>21</v>
      </c>
      <c r="C32" s="7" t="s">
        <v>22</v>
      </c>
      <c r="D32" s="1">
        <v>0.94</v>
      </c>
      <c r="E32" s="1">
        <v>4.4613583139999999</v>
      </c>
      <c r="F32" s="4" t="s">
        <v>20</v>
      </c>
      <c r="G32" s="1">
        <f t="shared" si="1"/>
        <v>100</v>
      </c>
      <c r="H32" s="1"/>
      <c r="I32" s="1"/>
      <c r="J32" s="1"/>
      <c r="K32" s="1">
        <f t="shared" si="2"/>
        <v>100</v>
      </c>
      <c r="L32" s="1">
        <v>10</v>
      </c>
      <c r="M32" s="1">
        <v>10</v>
      </c>
      <c r="N32" s="1">
        <v>10</v>
      </c>
      <c r="O32" s="1">
        <v>10</v>
      </c>
      <c r="P32" s="1">
        <v>10</v>
      </c>
      <c r="Q32" s="1">
        <v>10</v>
      </c>
      <c r="R32" s="1">
        <v>10</v>
      </c>
      <c r="S32" s="1">
        <v>10</v>
      </c>
      <c r="T32" s="1">
        <v>10</v>
      </c>
      <c r="U32" s="1">
        <v>10</v>
      </c>
    </row>
    <row r="33" spans="1:21" ht="16" x14ac:dyDescent="0.2">
      <c r="A33" s="6">
        <v>16</v>
      </c>
      <c r="B33" s="8" t="s">
        <v>21</v>
      </c>
      <c r="C33" s="7" t="s">
        <v>22</v>
      </c>
      <c r="D33" s="1">
        <v>0.94</v>
      </c>
      <c r="E33" s="1">
        <v>4.4897959180000004</v>
      </c>
      <c r="F33" s="4" t="s">
        <v>20</v>
      </c>
      <c r="G33" s="1">
        <f t="shared" si="1"/>
        <v>100</v>
      </c>
      <c r="H33" s="1"/>
      <c r="I33" s="1"/>
      <c r="J33" s="1"/>
      <c r="K33" s="1">
        <f t="shared" si="2"/>
        <v>100</v>
      </c>
      <c r="L33" s="1">
        <v>10</v>
      </c>
      <c r="M33" s="1">
        <v>10</v>
      </c>
      <c r="N33" s="1">
        <v>10</v>
      </c>
      <c r="O33" s="1">
        <v>10</v>
      </c>
      <c r="P33" s="1">
        <v>10</v>
      </c>
      <c r="Q33" s="1">
        <v>10</v>
      </c>
      <c r="R33" s="1">
        <v>10</v>
      </c>
      <c r="S33" s="1">
        <v>10</v>
      </c>
      <c r="T33" s="1">
        <v>10</v>
      </c>
      <c r="U33" s="1">
        <v>10</v>
      </c>
    </row>
    <row r="34" spans="1:21" ht="16" x14ac:dyDescent="0.2">
      <c r="A34" s="6">
        <v>17</v>
      </c>
      <c r="B34" s="8" t="s">
        <v>21</v>
      </c>
      <c r="C34" s="7" t="s">
        <v>22</v>
      </c>
      <c r="D34" s="1">
        <v>1.21</v>
      </c>
      <c r="E34" s="1">
        <v>4.6929824560000002</v>
      </c>
      <c r="F34" s="4" t="s">
        <v>20</v>
      </c>
      <c r="G34" s="1">
        <f t="shared" si="1"/>
        <v>33</v>
      </c>
      <c r="H34" s="1"/>
      <c r="I34" s="1"/>
      <c r="J34" s="1"/>
      <c r="K34" s="1">
        <f t="shared" si="2"/>
        <v>28</v>
      </c>
      <c r="L34" s="1">
        <v>9</v>
      </c>
      <c r="M34" s="1">
        <v>2</v>
      </c>
      <c r="N34" s="1">
        <v>0</v>
      </c>
      <c r="O34" s="1">
        <v>3</v>
      </c>
      <c r="P34" s="1">
        <v>5</v>
      </c>
      <c r="Q34" s="1">
        <v>3</v>
      </c>
      <c r="R34" s="1">
        <v>2</v>
      </c>
      <c r="S34" s="1">
        <v>4</v>
      </c>
      <c r="T34" s="1">
        <v>4</v>
      </c>
      <c r="U34" s="1">
        <v>1</v>
      </c>
    </row>
    <row r="35" spans="1:21" ht="16" x14ac:dyDescent="0.2">
      <c r="A35" s="6">
        <v>18</v>
      </c>
      <c r="B35" s="8" t="s">
        <v>21</v>
      </c>
      <c r="C35" s="7" t="s">
        <v>22</v>
      </c>
      <c r="D35" s="1">
        <v>1.45</v>
      </c>
      <c r="E35" s="1">
        <v>4.8045397230000004</v>
      </c>
      <c r="F35" s="4" t="s">
        <v>23</v>
      </c>
      <c r="G35" s="1">
        <f t="shared" si="1"/>
        <v>48</v>
      </c>
      <c r="H35" s="1"/>
      <c r="I35" s="1"/>
      <c r="J35" s="1"/>
      <c r="K35" s="1">
        <f t="shared" si="2"/>
        <v>40</v>
      </c>
      <c r="L35" s="1">
        <v>8</v>
      </c>
      <c r="M35" s="1">
        <v>8</v>
      </c>
      <c r="N35" s="1">
        <v>6</v>
      </c>
      <c r="O35" s="1">
        <v>2</v>
      </c>
      <c r="P35" s="1">
        <v>4</v>
      </c>
      <c r="Q35" s="1">
        <v>5</v>
      </c>
      <c r="R35" s="1">
        <v>3</v>
      </c>
      <c r="S35" s="1">
        <v>5</v>
      </c>
      <c r="T35" s="1">
        <v>4</v>
      </c>
      <c r="U35" s="1">
        <v>3</v>
      </c>
    </row>
    <row r="36" spans="1:21" ht="16" x14ac:dyDescent="0.2">
      <c r="A36" s="6">
        <v>19</v>
      </c>
      <c r="B36" s="8" t="s">
        <v>21</v>
      </c>
      <c r="C36" s="7" t="s">
        <v>22</v>
      </c>
      <c r="D36" s="1">
        <v>1.1599999999999999</v>
      </c>
      <c r="E36" s="1">
        <v>5.28</v>
      </c>
      <c r="F36" s="4" t="s">
        <v>23</v>
      </c>
      <c r="G36" s="1">
        <f t="shared" si="1"/>
        <v>59</v>
      </c>
      <c r="H36" s="1"/>
      <c r="I36" s="1"/>
      <c r="J36" s="1"/>
      <c r="K36" s="1">
        <f t="shared" si="2"/>
        <v>40</v>
      </c>
      <c r="L36" s="1">
        <v>10</v>
      </c>
      <c r="M36" s="1">
        <v>9</v>
      </c>
      <c r="N36" s="1">
        <v>8</v>
      </c>
      <c r="O36" s="1">
        <v>8</v>
      </c>
      <c r="P36" s="1">
        <v>4</v>
      </c>
      <c r="Q36" s="1">
        <v>5</v>
      </c>
      <c r="R36" s="1">
        <v>6</v>
      </c>
      <c r="S36" s="1">
        <v>3</v>
      </c>
      <c r="T36" s="1">
        <v>3</v>
      </c>
      <c r="U36" s="1">
        <v>3</v>
      </c>
    </row>
    <row r="37" spans="1:21" ht="16" x14ac:dyDescent="0.2">
      <c r="A37" s="6">
        <v>20</v>
      </c>
      <c r="B37" s="8" t="s">
        <v>21</v>
      </c>
      <c r="C37" s="7" t="s">
        <v>22</v>
      </c>
      <c r="D37" s="1">
        <v>1.08</v>
      </c>
      <c r="E37" s="1">
        <v>5.4291623580000001</v>
      </c>
      <c r="F37" s="4" t="s">
        <v>20</v>
      </c>
      <c r="G37" s="1">
        <f t="shared" si="1"/>
        <v>67</v>
      </c>
      <c r="H37" s="1"/>
      <c r="I37" s="1"/>
      <c r="J37" s="1"/>
      <c r="K37" s="1">
        <f t="shared" si="2"/>
        <v>48</v>
      </c>
      <c r="L37" s="1">
        <v>10</v>
      </c>
      <c r="M37" s="1">
        <v>10</v>
      </c>
      <c r="N37" s="1">
        <v>10</v>
      </c>
      <c r="O37" s="1">
        <v>8</v>
      </c>
      <c r="P37" s="1">
        <v>5</v>
      </c>
      <c r="Q37" s="1">
        <v>4</v>
      </c>
      <c r="R37" s="1">
        <v>4</v>
      </c>
      <c r="S37" s="1">
        <v>7</v>
      </c>
      <c r="T37" s="1">
        <v>5</v>
      </c>
      <c r="U37" s="1">
        <v>4</v>
      </c>
    </row>
    <row r="38" spans="1:21" ht="16" x14ac:dyDescent="0.2">
      <c r="A38" s="6">
        <v>21</v>
      </c>
      <c r="B38" s="8" t="s">
        <v>21</v>
      </c>
      <c r="C38" s="7" t="s">
        <v>22</v>
      </c>
      <c r="D38" s="1">
        <v>0.99</v>
      </c>
      <c r="E38" s="1">
        <v>5.4335894619999996</v>
      </c>
      <c r="F38" s="4" t="s">
        <v>23</v>
      </c>
      <c r="G38" s="1">
        <f t="shared" si="1"/>
        <v>17</v>
      </c>
      <c r="H38" s="1"/>
      <c r="I38" s="1"/>
      <c r="J38" s="1"/>
      <c r="K38" s="1">
        <f t="shared" si="2"/>
        <v>6</v>
      </c>
      <c r="L38" s="1">
        <v>9</v>
      </c>
      <c r="M38" s="1">
        <v>3</v>
      </c>
      <c r="N38" s="1">
        <v>2</v>
      </c>
      <c r="O38" s="1">
        <v>0</v>
      </c>
      <c r="P38" s="1">
        <v>0</v>
      </c>
      <c r="Q38" s="1">
        <v>0</v>
      </c>
      <c r="R38" s="1">
        <v>1</v>
      </c>
      <c r="S38" s="1">
        <v>1</v>
      </c>
      <c r="T38" s="1">
        <v>0</v>
      </c>
      <c r="U38" s="1">
        <v>1</v>
      </c>
    </row>
    <row r="39" spans="1:21" ht="16" x14ac:dyDescent="0.2">
      <c r="A39" s="6">
        <v>22</v>
      </c>
      <c r="B39" s="8" t="s">
        <v>21</v>
      </c>
      <c r="C39" s="7" t="s">
        <v>22</v>
      </c>
      <c r="D39" s="1">
        <v>1.04</v>
      </c>
      <c r="E39" s="1">
        <v>6.0096930530000003</v>
      </c>
      <c r="F39" s="4" t="s">
        <v>20</v>
      </c>
      <c r="G39" s="1">
        <f t="shared" si="1"/>
        <v>85</v>
      </c>
      <c r="H39" s="1"/>
      <c r="I39" s="1"/>
      <c r="J39" s="1"/>
      <c r="K39" s="1">
        <f t="shared" si="2"/>
        <v>74</v>
      </c>
      <c r="L39" s="1">
        <v>10</v>
      </c>
      <c r="M39" s="1">
        <v>10</v>
      </c>
      <c r="N39" s="1">
        <v>10</v>
      </c>
      <c r="O39" s="1">
        <v>9</v>
      </c>
      <c r="P39" s="1">
        <v>9</v>
      </c>
      <c r="Q39" s="1">
        <v>7</v>
      </c>
      <c r="R39" s="1">
        <v>8</v>
      </c>
      <c r="S39" s="1">
        <v>7</v>
      </c>
      <c r="T39" s="1">
        <v>7</v>
      </c>
      <c r="U39" s="1">
        <v>8</v>
      </c>
    </row>
    <row r="40" spans="1:21" ht="16" x14ac:dyDescent="0.2">
      <c r="A40" s="6">
        <v>23</v>
      </c>
      <c r="B40" s="8" t="s">
        <v>21</v>
      </c>
      <c r="C40" s="7" t="s">
        <v>22</v>
      </c>
      <c r="D40" s="1">
        <v>0.89</v>
      </c>
      <c r="E40" s="4">
        <v>6.2707182320000001</v>
      </c>
      <c r="F40" s="4" t="s">
        <v>20</v>
      </c>
      <c r="G40" s="1">
        <f t="shared" si="1"/>
        <v>100</v>
      </c>
      <c r="H40" s="1"/>
      <c r="I40" s="1"/>
      <c r="J40" s="1"/>
      <c r="K40" s="1">
        <f t="shared" si="2"/>
        <v>100</v>
      </c>
      <c r="L40" s="1">
        <v>10</v>
      </c>
      <c r="M40" s="1">
        <v>10</v>
      </c>
      <c r="N40" s="1">
        <v>10</v>
      </c>
      <c r="O40" s="1">
        <v>10</v>
      </c>
      <c r="P40" s="1">
        <v>10</v>
      </c>
      <c r="Q40" s="1">
        <v>10</v>
      </c>
      <c r="R40" s="1">
        <v>10</v>
      </c>
      <c r="S40" s="1">
        <v>10</v>
      </c>
      <c r="T40" s="1">
        <v>10</v>
      </c>
      <c r="U40" s="1">
        <v>10</v>
      </c>
    </row>
    <row r="41" spans="1:21" ht="16" x14ac:dyDescent="0.2">
      <c r="A41" s="6">
        <v>24</v>
      </c>
      <c r="B41" s="8" t="s">
        <v>21</v>
      </c>
      <c r="C41" s="7" t="s">
        <v>22</v>
      </c>
      <c r="D41" s="1">
        <v>1.27</v>
      </c>
      <c r="E41" s="1">
        <v>6.3626834380000004</v>
      </c>
      <c r="F41" s="4" t="s">
        <v>20</v>
      </c>
      <c r="G41" s="1">
        <f t="shared" si="1"/>
        <v>46</v>
      </c>
      <c r="H41" s="1"/>
      <c r="I41" s="1"/>
      <c r="J41" s="1"/>
      <c r="K41" s="1">
        <f t="shared" si="2"/>
        <v>20</v>
      </c>
      <c r="L41" s="1">
        <v>9</v>
      </c>
      <c r="M41" s="1">
        <v>10</v>
      </c>
      <c r="N41" s="1">
        <v>7</v>
      </c>
      <c r="O41" s="1">
        <v>6</v>
      </c>
      <c r="P41" s="1">
        <v>4</v>
      </c>
      <c r="Q41" s="1">
        <v>4</v>
      </c>
      <c r="R41" s="1">
        <v>2</v>
      </c>
      <c r="S41" s="1">
        <v>2</v>
      </c>
      <c r="T41" s="1">
        <v>1</v>
      </c>
      <c r="U41" s="1">
        <v>1</v>
      </c>
    </row>
    <row r="42" spans="1:21" ht="16" x14ac:dyDescent="0.2">
      <c r="A42" s="6">
        <v>25</v>
      </c>
      <c r="B42" s="8" t="s">
        <v>21</v>
      </c>
      <c r="C42" s="7" t="s">
        <v>22</v>
      </c>
      <c r="D42" s="1">
        <v>1.01</v>
      </c>
      <c r="E42" s="1">
        <v>6.9278350519999998</v>
      </c>
      <c r="F42" s="4" t="s">
        <v>20</v>
      </c>
      <c r="G42" s="1">
        <f t="shared" si="1"/>
        <v>86</v>
      </c>
      <c r="H42" s="1"/>
      <c r="I42" s="1"/>
      <c r="J42" s="1"/>
      <c r="K42" s="1">
        <f t="shared" si="2"/>
        <v>82</v>
      </c>
      <c r="L42" s="1">
        <v>10</v>
      </c>
      <c r="M42" s="1">
        <v>10</v>
      </c>
      <c r="N42" s="1">
        <v>7</v>
      </c>
      <c r="O42" s="1">
        <v>9</v>
      </c>
      <c r="P42" s="1">
        <v>9</v>
      </c>
      <c r="Q42" s="1">
        <v>8</v>
      </c>
      <c r="R42" s="1">
        <v>9</v>
      </c>
      <c r="S42" s="1">
        <v>8</v>
      </c>
      <c r="T42" s="1">
        <v>9</v>
      </c>
      <c r="U42" s="1">
        <v>7</v>
      </c>
    </row>
    <row r="43" spans="1:21" ht="16" x14ac:dyDescent="0.2">
      <c r="A43" s="6">
        <v>26</v>
      </c>
      <c r="B43" s="8" t="s">
        <v>21</v>
      </c>
      <c r="C43" s="7" t="s">
        <v>22</v>
      </c>
      <c r="D43" s="1">
        <v>0.99</v>
      </c>
      <c r="E43" s="1">
        <v>7.4224343680000002</v>
      </c>
      <c r="F43" s="4" t="s">
        <v>20</v>
      </c>
      <c r="G43" s="1">
        <f t="shared" si="1"/>
        <v>100</v>
      </c>
      <c r="H43" s="1"/>
      <c r="I43" s="1"/>
      <c r="J43" s="1"/>
      <c r="K43" s="1">
        <f t="shared" si="2"/>
        <v>100</v>
      </c>
      <c r="L43" s="1">
        <v>10</v>
      </c>
      <c r="M43" s="1">
        <v>10</v>
      </c>
      <c r="N43" s="1">
        <v>10</v>
      </c>
      <c r="O43" s="1">
        <v>10</v>
      </c>
      <c r="P43" s="1">
        <v>10</v>
      </c>
      <c r="Q43" s="1">
        <v>10</v>
      </c>
      <c r="R43" s="1">
        <v>10</v>
      </c>
      <c r="S43" s="1">
        <v>10</v>
      </c>
      <c r="T43" s="1">
        <v>10</v>
      </c>
      <c r="U43" s="1">
        <v>10</v>
      </c>
    </row>
    <row r="44" spans="1:21" ht="16" x14ac:dyDescent="0.2">
      <c r="A44" s="6">
        <v>27</v>
      </c>
      <c r="B44" s="8" t="s">
        <v>21</v>
      </c>
      <c r="C44" s="7" t="s">
        <v>22</v>
      </c>
      <c r="D44" s="1">
        <v>0.89</v>
      </c>
      <c r="E44" s="1">
        <v>7.5555555559999998</v>
      </c>
      <c r="F44" s="4" t="s">
        <v>20</v>
      </c>
      <c r="G44" s="1">
        <f t="shared" si="1"/>
        <v>100</v>
      </c>
      <c r="H44" s="1"/>
      <c r="I44" s="1"/>
      <c r="J44" s="1"/>
      <c r="K44" s="1">
        <f t="shared" si="2"/>
        <v>100</v>
      </c>
      <c r="L44" s="1">
        <v>10</v>
      </c>
      <c r="M44" s="1">
        <v>10</v>
      </c>
      <c r="N44" s="1">
        <v>10</v>
      </c>
      <c r="O44" s="1">
        <v>10</v>
      </c>
      <c r="P44" s="1">
        <v>10</v>
      </c>
      <c r="Q44" s="1">
        <v>10</v>
      </c>
      <c r="R44" s="1">
        <v>10</v>
      </c>
      <c r="S44" s="1">
        <v>10</v>
      </c>
      <c r="T44" s="1">
        <v>10</v>
      </c>
      <c r="U44" s="1">
        <v>10</v>
      </c>
    </row>
    <row r="45" spans="1:21" ht="16" x14ac:dyDescent="0.2">
      <c r="A45" s="6">
        <v>28</v>
      </c>
      <c r="B45" s="8" t="s">
        <v>21</v>
      </c>
      <c r="C45" s="7" t="s">
        <v>22</v>
      </c>
      <c r="D45" s="1">
        <v>1.02</v>
      </c>
      <c r="E45" s="1">
        <v>7.6279650439999998</v>
      </c>
      <c r="F45" s="4" t="s">
        <v>20</v>
      </c>
      <c r="G45" s="1">
        <f t="shared" si="1"/>
        <v>94</v>
      </c>
      <c r="H45" s="1"/>
      <c r="I45" s="1"/>
      <c r="J45" s="1"/>
      <c r="K45" s="1">
        <f t="shared" si="2"/>
        <v>92</v>
      </c>
      <c r="L45" s="1">
        <v>10</v>
      </c>
      <c r="M45" s="1">
        <v>10</v>
      </c>
      <c r="N45" s="1">
        <v>10</v>
      </c>
      <c r="O45" s="1">
        <v>9</v>
      </c>
      <c r="P45" s="1">
        <v>9</v>
      </c>
      <c r="Q45" s="1">
        <v>9</v>
      </c>
      <c r="R45" s="1">
        <v>10</v>
      </c>
      <c r="S45" s="1">
        <v>9</v>
      </c>
      <c r="T45" s="1">
        <v>9</v>
      </c>
      <c r="U45" s="1">
        <v>9</v>
      </c>
    </row>
    <row r="46" spans="1:21" ht="16" x14ac:dyDescent="0.2">
      <c r="A46" s="6">
        <v>29</v>
      </c>
      <c r="B46" s="8" t="s">
        <v>21</v>
      </c>
      <c r="C46" s="7" t="s">
        <v>22</v>
      </c>
      <c r="D46" s="1">
        <v>1.24</v>
      </c>
      <c r="E46" s="1">
        <v>7.6897689769999999</v>
      </c>
      <c r="F46" s="4" t="s">
        <v>23</v>
      </c>
      <c r="G46" s="1">
        <f t="shared" si="1"/>
        <v>28</v>
      </c>
      <c r="H46" s="1"/>
      <c r="I46" s="1"/>
      <c r="J46" s="1"/>
      <c r="K46" s="1">
        <f t="shared" si="2"/>
        <v>24</v>
      </c>
      <c r="L46" s="1">
        <v>9</v>
      </c>
      <c r="M46" s="1">
        <v>4</v>
      </c>
      <c r="N46" s="1">
        <v>0</v>
      </c>
      <c r="O46" s="1">
        <v>2</v>
      </c>
      <c r="P46" s="1">
        <v>1</v>
      </c>
      <c r="Q46" s="1">
        <v>4</v>
      </c>
      <c r="R46" s="1">
        <v>3</v>
      </c>
      <c r="S46" s="1">
        <v>2</v>
      </c>
      <c r="T46" s="1">
        <v>3</v>
      </c>
      <c r="U46" s="1">
        <v>0</v>
      </c>
    </row>
    <row r="47" spans="1:21" ht="16" x14ac:dyDescent="0.2">
      <c r="A47" s="6">
        <v>30</v>
      </c>
      <c r="B47" s="8" t="s">
        <v>21</v>
      </c>
      <c r="C47" s="7" t="s">
        <v>22</v>
      </c>
      <c r="D47" s="1">
        <v>0.92</v>
      </c>
      <c r="E47" s="1">
        <v>7.9865771810000004</v>
      </c>
      <c r="F47" s="4" t="s">
        <v>20</v>
      </c>
      <c r="G47" s="1">
        <f t="shared" si="1"/>
        <v>95</v>
      </c>
      <c r="H47" s="1"/>
      <c r="I47" s="1"/>
      <c r="J47" s="1"/>
      <c r="K47" s="1">
        <f t="shared" si="2"/>
        <v>92</v>
      </c>
      <c r="L47" s="1">
        <v>10</v>
      </c>
      <c r="M47" s="1">
        <v>10</v>
      </c>
      <c r="N47" s="1">
        <v>10</v>
      </c>
      <c r="O47" s="1">
        <v>10</v>
      </c>
      <c r="P47" s="1">
        <v>9</v>
      </c>
      <c r="Q47" s="1">
        <v>10</v>
      </c>
      <c r="R47" s="1">
        <v>10</v>
      </c>
      <c r="S47" s="1">
        <v>9</v>
      </c>
      <c r="T47" s="1">
        <v>8</v>
      </c>
      <c r="U47" s="1">
        <v>9</v>
      </c>
    </row>
    <row r="48" spans="1:21" ht="16" x14ac:dyDescent="0.2">
      <c r="A48" s="6">
        <v>31</v>
      </c>
      <c r="B48" s="8" t="s">
        <v>21</v>
      </c>
      <c r="C48" s="7" t="s">
        <v>22</v>
      </c>
      <c r="D48" s="1">
        <v>0.94</v>
      </c>
      <c r="E48" s="1">
        <v>8.4104046239999999</v>
      </c>
      <c r="F48" s="4" t="s">
        <v>23</v>
      </c>
      <c r="G48" s="1">
        <f t="shared" si="1"/>
        <v>100</v>
      </c>
      <c r="H48" s="1"/>
      <c r="I48" s="1"/>
      <c r="J48" s="1"/>
      <c r="K48" s="1">
        <f t="shared" si="2"/>
        <v>100</v>
      </c>
      <c r="L48" s="1">
        <v>10</v>
      </c>
      <c r="M48" s="1">
        <v>10</v>
      </c>
      <c r="N48" s="1">
        <v>10</v>
      </c>
      <c r="O48" s="1">
        <v>10</v>
      </c>
      <c r="P48" s="1">
        <v>10</v>
      </c>
      <c r="Q48" s="1">
        <v>10</v>
      </c>
      <c r="R48" s="1">
        <v>10</v>
      </c>
      <c r="S48" s="1">
        <v>10</v>
      </c>
      <c r="T48" s="1">
        <v>10</v>
      </c>
      <c r="U48" s="1">
        <v>10</v>
      </c>
    </row>
    <row r="49" spans="1:32" ht="16" x14ac:dyDescent="0.2">
      <c r="A49" s="6">
        <v>32</v>
      </c>
      <c r="B49" s="8" t="s">
        <v>21</v>
      </c>
      <c r="C49" s="7" t="s">
        <v>22</v>
      </c>
      <c r="D49" s="1">
        <v>0.91</v>
      </c>
      <c r="E49" s="1">
        <v>8.4552845530000003</v>
      </c>
      <c r="F49" s="4" t="s">
        <v>23</v>
      </c>
      <c r="G49" s="1">
        <f t="shared" si="1"/>
        <v>100</v>
      </c>
      <c r="H49" s="1"/>
      <c r="I49" s="1"/>
      <c r="J49" s="1"/>
      <c r="K49" s="1">
        <f t="shared" si="2"/>
        <v>100</v>
      </c>
      <c r="L49" s="1">
        <v>10</v>
      </c>
      <c r="M49" s="1">
        <v>10</v>
      </c>
      <c r="N49" s="1">
        <v>10</v>
      </c>
      <c r="O49" s="1">
        <v>10</v>
      </c>
      <c r="P49" s="1">
        <v>10</v>
      </c>
      <c r="Q49" s="1">
        <v>10</v>
      </c>
      <c r="R49" s="1">
        <v>10</v>
      </c>
      <c r="S49" s="1">
        <v>10</v>
      </c>
      <c r="T49" s="1">
        <v>10</v>
      </c>
      <c r="U49" s="1">
        <v>10</v>
      </c>
    </row>
    <row r="50" spans="1:32" ht="16" x14ac:dyDescent="0.2">
      <c r="A50" s="6">
        <v>33</v>
      </c>
      <c r="B50" s="8" t="s">
        <v>21</v>
      </c>
      <c r="C50" s="7" t="s">
        <v>22</v>
      </c>
      <c r="D50" s="1">
        <v>0.94</v>
      </c>
      <c r="E50" s="1">
        <v>8.6383928569999995</v>
      </c>
      <c r="F50" s="4" t="s">
        <v>20</v>
      </c>
      <c r="G50" s="1">
        <f t="shared" si="1"/>
        <v>100</v>
      </c>
      <c r="H50" s="1"/>
      <c r="I50" s="1"/>
      <c r="J50" s="1"/>
      <c r="K50" s="1">
        <f t="shared" si="2"/>
        <v>100</v>
      </c>
      <c r="L50" s="1">
        <v>10</v>
      </c>
      <c r="M50" s="1">
        <v>10</v>
      </c>
      <c r="N50" s="1">
        <v>10</v>
      </c>
      <c r="O50" s="1">
        <v>10</v>
      </c>
      <c r="P50" s="1">
        <v>10</v>
      </c>
      <c r="Q50" s="1">
        <v>10</v>
      </c>
      <c r="R50" s="1">
        <v>10</v>
      </c>
      <c r="S50" s="1">
        <v>10</v>
      </c>
      <c r="T50" s="1">
        <v>10</v>
      </c>
      <c r="U50" s="1">
        <v>10</v>
      </c>
    </row>
    <row r="51" spans="1:32" ht="16" x14ac:dyDescent="0.2">
      <c r="A51" s="6">
        <v>34</v>
      </c>
      <c r="B51" s="8" t="s">
        <v>21</v>
      </c>
      <c r="C51" s="7" t="s">
        <v>22</v>
      </c>
      <c r="D51" s="1">
        <v>0.94</v>
      </c>
      <c r="E51" s="1">
        <v>8.7586206900000008</v>
      </c>
      <c r="F51" s="4" t="s">
        <v>23</v>
      </c>
      <c r="G51" s="1">
        <f t="shared" si="1"/>
        <v>100</v>
      </c>
      <c r="H51" s="1"/>
      <c r="I51" s="1"/>
      <c r="J51" s="1"/>
      <c r="K51" s="1">
        <f t="shared" si="2"/>
        <v>100</v>
      </c>
      <c r="L51" s="1">
        <v>10</v>
      </c>
      <c r="M51" s="1">
        <v>10</v>
      </c>
      <c r="N51" s="1">
        <v>10</v>
      </c>
      <c r="O51" s="1">
        <v>10</v>
      </c>
      <c r="P51" s="1">
        <v>10</v>
      </c>
      <c r="Q51" s="1">
        <v>10</v>
      </c>
      <c r="R51" s="1">
        <v>10</v>
      </c>
      <c r="S51" s="1">
        <v>10</v>
      </c>
      <c r="T51" s="1">
        <v>10</v>
      </c>
      <c r="U51" s="1">
        <v>10</v>
      </c>
    </row>
    <row r="52" spans="1:32" ht="16" x14ac:dyDescent="0.2">
      <c r="A52" s="6">
        <v>35</v>
      </c>
      <c r="B52" s="8" t="s">
        <v>21</v>
      </c>
      <c r="C52" s="7" t="s">
        <v>22</v>
      </c>
      <c r="D52" s="1">
        <v>0.95</v>
      </c>
      <c r="E52" s="1">
        <v>9.5522388060000001</v>
      </c>
      <c r="F52" s="4" t="s">
        <v>20</v>
      </c>
      <c r="G52" s="1">
        <f t="shared" si="1"/>
        <v>100</v>
      </c>
      <c r="H52" s="1"/>
      <c r="I52" s="1"/>
      <c r="J52" s="1"/>
      <c r="K52" s="1">
        <f t="shared" si="2"/>
        <v>100</v>
      </c>
      <c r="L52" s="1">
        <v>10</v>
      </c>
      <c r="M52" s="1">
        <v>10</v>
      </c>
      <c r="N52" s="1">
        <v>10</v>
      </c>
      <c r="O52" s="1">
        <v>10</v>
      </c>
      <c r="P52" s="1">
        <v>10</v>
      </c>
      <c r="Q52" s="1">
        <v>10</v>
      </c>
      <c r="R52" s="1">
        <v>10</v>
      </c>
      <c r="S52" s="1">
        <v>10</v>
      </c>
      <c r="T52" s="1">
        <v>10</v>
      </c>
      <c r="U52" s="1">
        <v>10</v>
      </c>
    </row>
    <row r="53" spans="1:32" ht="32" x14ac:dyDescent="0.2">
      <c r="A53" s="6">
        <v>1</v>
      </c>
      <c r="B53" s="8" t="s">
        <v>24</v>
      </c>
      <c r="C53" s="7" t="s">
        <v>25</v>
      </c>
      <c r="D53" s="1">
        <v>0.94</v>
      </c>
      <c r="E53" s="1">
        <v>6.2149532709999997</v>
      </c>
      <c r="F53" s="4" t="s">
        <v>20</v>
      </c>
      <c r="G53" s="1">
        <f t="shared" si="1"/>
        <v>94</v>
      </c>
      <c r="H53" s="1"/>
      <c r="I53" s="1"/>
      <c r="J53" s="1"/>
      <c r="K53" s="1">
        <f t="shared" si="2"/>
        <v>88</v>
      </c>
      <c r="L53" s="1">
        <v>10</v>
      </c>
      <c r="M53" s="1">
        <v>10</v>
      </c>
      <c r="N53" s="1">
        <v>10</v>
      </c>
      <c r="O53" s="1">
        <v>10</v>
      </c>
      <c r="P53" s="1">
        <v>10</v>
      </c>
      <c r="Q53" s="1">
        <v>9</v>
      </c>
      <c r="R53" s="1">
        <v>8</v>
      </c>
      <c r="S53" s="1">
        <v>9</v>
      </c>
      <c r="T53" s="1">
        <v>9</v>
      </c>
      <c r="U53" s="1">
        <v>9</v>
      </c>
      <c r="W53">
        <f>AVERAGE(L53:L90)*10</f>
        <v>99.73684210526315</v>
      </c>
      <c r="X53">
        <f t="shared" ref="X53:AE53" si="4">AVERAGE(M53:M90)*10</f>
        <v>89.73684210526315</v>
      </c>
      <c r="Y53">
        <f t="shared" si="4"/>
        <v>88.68421052631578</v>
      </c>
      <c r="Z53">
        <f t="shared" si="4"/>
        <v>86.84210526315789</v>
      </c>
      <c r="AA53">
        <f t="shared" si="4"/>
        <v>87.631578947368425</v>
      </c>
      <c r="AB53">
        <f t="shared" si="4"/>
        <v>84.73684210526315</v>
      </c>
      <c r="AC53">
        <f t="shared" si="4"/>
        <v>84.73684210526315</v>
      </c>
      <c r="AD53">
        <f t="shared" si="4"/>
        <v>85.789473684210535</v>
      </c>
      <c r="AE53">
        <f t="shared" si="4"/>
        <v>85.526315789473685</v>
      </c>
      <c r="AF53">
        <f>AVERAGE(U53:U90)*10</f>
        <v>82.631578947368425</v>
      </c>
    </row>
    <row r="54" spans="1:32" ht="32" x14ac:dyDescent="0.2">
      <c r="A54" s="6">
        <v>2</v>
      </c>
      <c r="B54" s="8" t="s">
        <v>24</v>
      </c>
      <c r="C54" s="7" t="s">
        <v>25</v>
      </c>
      <c r="D54" s="4">
        <v>1.04</v>
      </c>
      <c r="E54" s="4">
        <v>7.4861878449999999</v>
      </c>
      <c r="F54" s="4" t="s">
        <v>20</v>
      </c>
      <c r="G54" s="1">
        <f t="shared" si="1"/>
        <v>100</v>
      </c>
      <c r="H54" s="1"/>
      <c r="I54" s="1"/>
      <c r="J54" s="1"/>
      <c r="K54" s="1">
        <f t="shared" si="2"/>
        <v>100</v>
      </c>
      <c r="L54" s="1">
        <v>10</v>
      </c>
      <c r="M54" s="1">
        <v>10</v>
      </c>
      <c r="N54" s="1">
        <v>10</v>
      </c>
      <c r="O54" s="1">
        <v>10</v>
      </c>
      <c r="P54" s="1">
        <v>10</v>
      </c>
      <c r="Q54" s="1">
        <v>10</v>
      </c>
      <c r="R54" s="1">
        <v>10</v>
      </c>
      <c r="S54" s="1">
        <v>10</v>
      </c>
      <c r="T54" s="1">
        <v>10</v>
      </c>
      <c r="U54" s="1">
        <v>10</v>
      </c>
    </row>
    <row r="55" spans="1:32" ht="32" x14ac:dyDescent="0.2">
      <c r="A55" s="6">
        <v>3</v>
      </c>
      <c r="B55" s="8" t="s">
        <v>24</v>
      </c>
      <c r="C55" s="7" t="s">
        <v>25</v>
      </c>
      <c r="D55" s="1">
        <v>1.32</v>
      </c>
      <c r="E55" s="1">
        <v>3.3376288660000002</v>
      </c>
      <c r="F55" s="4" t="s">
        <v>20</v>
      </c>
      <c r="G55" s="1">
        <f t="shared" si="1"/>
        <v>84</v>
      </c>
      <c r="H55" s="1"/>
      <c r="I55" s="1"/>
      <c r="J55" s="1"/>
      <c r="K55" s="1">
        <f t="shared" si="2"/>
        <v>74</v>
      </c>
      <c r="L55" s="1">
        <v>10</v>
      </c>
      <c r="M55" s="1">
        <v>10</v>
      </c>
      <c r="N55" s="1">
        <v>8</v>
      </c>
      <c r="O55" s="1">
        <v>10</v>
      </c>
      <c r="P55" s="1">
        <v>9</v>
      </c>
      <c r="Q55" s="1">
        <v>8</v>
      </c>
      <c r="R55" s="1">
        <v>6</v>
      </c>
      <c r="S55" s="1">
        <v>7</v>
      </c>
      <c r="T55" s="1">
        <v>9</v>
      </c>
      <c r="U55" s="1">
        <v>7</v>
      </c>
    </row>
    <row r="56" spans="1:32" ht="32" x14ac:dyDescent="0.2">
      <c r="A56" s="6">
        <v>4</v>
      </c>
      <c r="B56" s="8" t="s">
        <v>24</v>
      </c>
      <c r="C56" s="7" t="s">
        <v>25</v>
      </c>
      <c r="D56" s="1">
        <v>1.04</v>
      </c>
      <c r="E56" s="1">
        <v>6.1683168320000004</v>
      </c>
      <c r="F56" s="4" t="s">
        <v>20</v>
      </c>
      <c r="G56" s="1">
        <f t="shared" si="1"/>
        <v>13</v>
      </c>
      <c r="H56" s="1"/>
      <c r="I56" s="1"/>
      <c r="J56" s="1"/>
      <c r="K56" s="1">
        <f t="shared" si="2"/>
        <v>4</v>
      </c>
      <c r="L56" s="1">
        <v>10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2</v>
      </c>
      <c r="U56" s="1">
        <v>0</v>
      </c>
    </row>
    <row r="57" spans="1:32" ht="32" x14ac:dyDescent="0.2">
      <c r="A57" s="6">
        <v>5</v>
      </c>
      <c r="B57" s="8" t="s">
        <v>24</v>
      </c>
      <c r="C57" s="7" t="s">
        <v>25</v>
      </c>
      <c r="D57" s="1">
        <v>1.0900000000000001</v>
      </c>
      <c r="E57" s="1">
        <v>9.6511627910000009</v>
      </c>
      <c r="F57" s="4" t="s">
        <v>20</v>
      </c>
      <c r="G57" s="1">
        <f t="shared" si="1"/>
        <v>41</v>
      </c>
      <c r="H57" s="1"/>
      <c r="I57" s="1"/>
      <c r="J57" s="1"/>
      <c r="K57" s="1">
        <f t="shared" si="2"/>
        <v>26</v>
      </c>
      <c r="L57" s="1">
        <v>10</v>
      </c>
      <c r="M57" s="1">
        <v>5</v>
      </c>
      <c r="N57" s="1">
        <v>4</v>
      </c>
      <c r="O57" s="1">
        <v>4</v>
      </c>
      <c r="P57" s="1">
        <v>5</v>
      </c>
      <c r="Q57" s="1">
        <v>4</v>
      </c>
      <c r="R57" s="1">
        <v>3</v>
      </c>
      <c r="S57" s="1">
        <v>4</v>
      </c>
      <c r="T57" s="1">
        <v>2</v>
      </c>
      <c r="U57" s="1">
        <v>0</v>
      </c>
    </row>
    <row r="58" spans="1:32" ht="32" x14ac:dyDescent="0.2">
      <c r="A58" s="6">
        <v>6</v>
      </c>
      <c r="B58" s="8" t="s">
        <v>24</v>
      </c>
      <c r="C58" s="7" t="s">
        <v>25</v>
      </c>
      <c r="D58" s="1">
        <v>0.95</v>
      </c>
      <c r="E58" s="1">
        <v>7.309322034</v>
      </c>
      <c r="F58" s="4" t="s">
        <v>20</v>
      </c>
      <c r="G58" s="1">
        <f t="shared" si="1"/>
        <v>99</v>
      </c>
      <c r="H58" s="1"/>
      <c r="I58" s="1"/>
      <c r="J58" s="1"/>
      <c r="K58" s="1">
        <f t="shared" si="2"/>
        <v>98</v>
      </c>
      <c r="L58" s="1">
        <v>10</v>
      </c>
      <c r="M58" s="1">
        <v>10</v>
      </c>
      <c r="N58" s="1">
        <v>10</v>
      </c>
      <c r="O58" s="1">
        <v>10</v>
      </c>
      <c r="P58" s="1">
        <v>10</v>
      </c>
      <c r="Q58" s="1">
        <v>10</v>
      </c>
      <c r="R58" s="1">
        <v>10</v>
      </c>
      <c r="S58" s="1">
        <v>10</v>
      </c>
      <c r="T58" s="1">
        <v>10</v>
      </c>
      <c r="U58" s="1">
        <v>9</v>
      </c>
    </row>
    <row r="59" spans="1:32" ht="32" x14ac:dyDescent="0.2">
      <c r="A59" s="6">
        <v>7</v>
      </c>
      <c r="B59" s="8" t="s">
        <v>24</v>
      </c>
      <c r="C59" s="7" t="s">
        <v>25</v>
      </c>
      <c r="D59" s="1">
        <v>1.1299999999999999</v>
      </c>
      <c r="E59" s="1">
        <v>4.0217391300000003</v>
      </c>
      <c r="F59" s="4" t="s">
        <v>20</v>
      </c>
      <c r="G59" s="1">
        <f t="shared" si="1"/>
        <v>100</v>
      </c>
      <c r="H59" s="1"/>
      <c r="I59" s="1"/>
      <c r="J59" s="1"/>
      <c r="K59" s="1">
        <f t="shared" si="2"/>
        <v>100</v>
      </c>
      <c r="L59" s="1">
        <v>10</v>
      </c>
      <c r="M59" s="1">
        <v>10</v>
      </c>
      <c r="N59" s="1">
        <v>10</v>
      </c>
      <c r="O59" s="1">
        <v>10</v>
      </c>
      <c r="P59" s="1">
        <v>10</v>
      </c>
      <c r="Q59" s="1">
        <v>10</v>
      </c>
      <c r="R59" s="1">
        <v>10</v>
      </c>
      <c r="S59" s="1">
        <v>10</v>
      </c>
      <c r="T59" s="1">
        <v>10</v>
      </c>
      <c r="U59" s="1">
        <v>10</v>
      </c>
    </row>
    <row r="60" spans="1:32" ht="32" x14ac:dyDescent="0.2">
      <c r="A60" s="6">
        <v>8</v>
      </c>
      <c r="B60" s="8" t="s">
        <v>24</v>
      </c>
      <c r="C60" s="7" t="s">
        <v>25</v>
      </c>
      <c r="D60" s="1">
        <v>1.1299999999999999</v>
      </c>
      <c r="E60" s="1">
        <v>13.496503499999999</v>
      </c>
      <c r="F60" s="4" t="s">
        <v>20</v>
      </c>
      <c r="G60" s="1">
        <f t="shared" si="1"/>
        <v>91</v>
      </c>
      <c r="H60" s="1"/>
      <c r="I60" s="1"/>
      <c r="J60" s="1"/>
      <c r="K60" s="1">
        <f t="shared" si="2"/>
        <v>88</v>
      </c>
      <c r="L60" s="1">
        <v>10</v>
      </c>
      <c r="M60" s="1">
        <v>10</v>
      </c>
      <c r="N60" s="1">
        <v>9</v>
      </c>
      <c r="O60" s="1">
        <v>9</v>
      </c>
      <c r="P60" s="1">
        <v>9</v>
      </c>
      <c r="Q60" s="1">
        <v>8</v>
      </c>
      <c r="R60" s="1">
        <v>9</v>
      </c>
      <c r="S60" s="1">
        <v>9</v>
      </c>
      <c r="T60" s="1">
        <v>9</v>
      </c>
      <c r="U60" s="1">
        <v>9</v>
      </c>
    </row>
    <row r="61" spans="1:32" ht="32" x14ac:dyDescent="0.2">
      <c r="A61" s="6">
        <v>9</v>
      </c>
      <c r="B61" s="8" t="s">
        <v>24</v>
      </c>
      <c r="C61" s="7" t="s">
        <v>25</v>
      </c>
      <c r="D61" s="1">
        <v>1.07</v>
      </c>
      <c r="E61" s="1">
        <v>8.1578947369999995</v>
      </c>
      <c r="F61" s="4" t="s">
        <v>20</v>
      </c>
      <c r="G61" s="1">
        <f t="shared" si="1"/>
        <v>100</v>
      </c>
      <c r="H61" s="1"/>
      <c r="I61" s="1"/>
      <c r="J61" s="1"/>
      <c r="K61" s="1">
        <f t="shared" si="2"/>
        <v>100</v>
      </c>
      <c r="L61" s="1">
        <v>10</v>
      </c>
      <c r="M61" s="1">
        <v>10</v>
      </c>
      <c r="N61" s="1">
        <v>10</v>
      </c>
      <c r="O61" s="1">
        <v>10</v>
      </c>
      <c r="P61" s="1">
        <v>10</v>
      </c>
      <c r="Q61" s="1">
        <v>10</v>
      </c>
      <c r="R61" s="1">
        <v>10</v>
      </c>
      <c r="S61" s="1">
        <v>10</v>
      </c>
      <c r="T61" s="1">
        <v>10</v>
      </c>
      <c r="U61" s="1">
        <v>10</v>
      </c>
    </row>
    <row r="62" spans="1:32" ht="32" x14ac:dyDescent="0.2">
      <c r="A62" s="6">
        <v>10</v>
      </c>
      <c r="B62" s="8" t="s">
        <v>24</v>
      </c>
      <c r="C62" s="7" t="s">
        <v>25</v>
      </c>
      <c r="D62" s="1">
        <v>1.04</v>
      </c>
      <c r="E62" s="1">
        <v>13.25842697</v>
      </c>
      <c r="F62" s="4" t="s">
        <v>20</v>
      </c>
      <c r="G62" s="1">
        <f t="shared" si="1"/>
        <v>100</v>
      </c>
      <c r="H62" s="1"/>
      <c r="I62" s="1"/>
      <c r="J62" s="1"/>
      <c r="K62" s="1">
        <f t="shared" si="2"/>
        <v>100</v>
      </c>
      <c r="L62" s="1">
        <v>10</v>
      </c>
      <c r="M62" s="1">
        <v>10</v>
      </c>
      <c r="N62" s="1">
        <v>10</v>
      </c>
      <c r="O62" s="1">
        <v>10</v>
      </c>
      <c r="P62" s="1">
        <v>10</v>
      </c>
      <c r="Q62" s="1">
        <v>10</v>
      </c>
      <c r="R62" s="1">
        <v>10</v>
      </c>
      <c r="S62" s="1">
        <v>10</v>
      </c>
      <c r="T62" s="1">
        <v>10</v>
      </c>
      <c r="U62" s="1">
        <v>10</v>
      </c>
    </row>
    <row r="63" spans="1:32" ht="32" x14ac:dyDescent="0.2">
      <c r="A63" s="6">
        <v>11</v>
      </c>
      <c r="B63" s="8" t="s">
        <v>24</v>
      </c>
      <c r="C63" s="7" t="s">
        <v>25</v>
      </c>
      <c r="D63" s="1">
        <v>0.94</v>
      </c>
      <c r="E63" s="1">
        <v>20.13888889</v>
      </c>
      <c r="F63" s="4" t="s">
        <v>20</v>
      </c>
      <c r="G63" s="1">
        <f t="shared" si="1"/>
        <v>100</v>
      </c>
      <c r="H63" s="1"/>
      <c r="I63" s="1"/>
      <c r="J63" s="1"/>
      <c r="K63" s="1">
        <f t="shared" si="2"/>
        <v>100</v>
      </c>
      <c r="L63" s="1">
        <v>10</v>
      </c>
      <c r="M63" s="1">
        <v>10</v>
      </c>
      <c r="N63" s="1">
        <v>10</v>
      </c>
      <c r="O63" s="1">
        <v>10</v>
      </c>
      <c r="P63" s="1">
        <v>10</v>
      </c>
      <c r="Q63" s="1">
        <v>10</v>
      </c>
      <c r="R63" s="1">
        <v>10</v>
      </c>
      <c r="S63" s="1">
        <v>10</v>
      </c>
      <c r="T63" s="1">
        <v>10</v>
      </c>
      <c r="U63" s="1">
        <v>10</v>
      </c>
    </row>
    <row r="64" spans="1:32" ht="32" x14ac:dyDescent="0.2">
      <c r="A64" s="6">
        <v>12</v>
      </c>
      <c r="B64" s="8" t="s">
        <v>24</v>
      </c>
      <c r="C64" s="7" t="s">
        <v>25</v>
      </c>
      <c r="D64" s="1">
        <v>0.94</v>
      </c>
      <c r="E64" s="1">
        <v>17.373737370000001</v>
      </c>
      <c r="F64" s="4" t="s">
        <v>20</v>
      </c>
      <c r="G64" s="1">
        <f t="shared" si="1"/>
        <v>84</v>
      </c>
      <c r="H64" s="1"/>
      <c r="I64" s="1"/>
      <c r="J64" s="1"/>
      <c r="K64" s="1">
        <f t="shared" si="2"/>
        <v>86</v>
      </c>
      <c r="L64" s="1">
        <v>10</v>
      </c>
      <c r="M64" s="1">
        <v>7</v>
      </c>
      <c r="N64" s="1">
        <v>10</v>
      </c>
      <c r="O64" s="1">
        <v>7</v>
      </c>
      <c r="P64" s="1">
        <v>7</v>
      </c>
      <c r="Q64" s="1">
        <v>9</v>
      </c>
      <c r="R64" s="1">
        <v>9</v>
      </c>
      <c r="S64" s="1">
        <v>8</v>
      </c>
      <c r="T64" s="1">
        <v>7</v>
      </c>
      <c r="U64" s="1">
        <v>10</v>
      </c>
    </row>
    <row r="65" spans="1:21" ht="32" x14ac:dyDescent="0.2">
      <c r="A65" s="6">
        <v>13</v>
      </c>
      <c r="B65" s="8" t="s">
        <v>24</v>
      </c>
      <c r="C65" s="7" t="s">
        <v>25</v>
      </c>
      <c r="D65" s="1">
        <v>1.1200000000000001</v>
      </c>
      <c r="E65" s="1">
        <v>5.615384615</v>
      </c>
      <c r="F65" s="4" t="s">
        <v>20</v>
      </c>
      <c r="G65" s="1">
        <f t="shared" si="1"/>
        <v>92</v>
      </c>
      <c r="H65" s="1"/>
      <c r="I65" s="1"/>
      <c r="J65" s="1"/>
      <c r="K65" s="1">
        <f t="shared" si="2"/>
        <v>92</v>
      </c>
      <c r="L65" s="1">
        <v>10</v>
      </c>
      <c r="M65" s="1">
        <v>10</v>
      </c>
      <c r="N65" s="1">
        <v>10</v>
      </c>
      <c r="O65" s="1">
        <v>8</v>
      </c>
      <c r="P65" s="1">
        <v>8</v>
      </c>
      <c r="Q65" s="1">
        <v>8</v>
      </c>
      <c r="R65" s="1">
        <v>10</v>
      </c>
      <c r="S65" s="1">
        <v>10</v>
      </c>
      <c r="T65" s="1">
        <v>9</v>
      </c>
      <c r="U65" s="1">
        <v>9</v>
      </c>
    </row>
    <row r="66" spans="1:21" ht="32" x14ac:dyDescent="0.2">
      <c r="A66" s="6">
        <v>14</v>
      </c>
      <c r="B66" s="8" t="s">
        <v>24</v>
      </c>
      <c r="C66" s="7" t="s">
        <v>25</v>
      </c>
      <c r="D66" s="1">
        <v>0.94</v>
      </c>
      <c r="E66" s="1">
        <v>9.3037974680000008</v>
      </c>
      <c r="F66" s="4" t="s">
        <v>20</v>
      </c>
      <c r="G66" s="1">
        <f t="shared" si="1"/>
        <v>100</v>
      </c>
      <c r="H66" s="1"/>
      <c r="I66" s="1"/>
      <c r="J66" s="1"/>
      <c r="K66" s="1">
        <f t="shared" si="2"/>
        <v>100</v>
      </c>
      <c r="L66" s="1">
        <v>10</v>
      </c>
      <c r="M66" s="1">
        <v>10</v>
      </c>
      <c r="N66" s="1">
        <v>10</v>
      </c>
      <c r="O66" s="1">
        <v>10</v>
      </c>
      <c r="P66" s="1">
        <v>10</v>
      </c>
      <c r="Q66" s="1">
        <v>10</v>
      </c>
      <c r="R66" s="1">
        <v>10</v>
      </c>
      <c r="S66" s="1">
        <v>10</v>
      </c>
      <c r="T66" s="1">
        <v>10</v>
      </c>
      <c r="U66" s="1">
        <v>10</v>
      </c>
    </row>
    <row r="67" spans="1:21" ht="32" x14ac:dyDescent="0.2">
      <c r="A67" s="6">
        <v>15</v>
      </c>
      <c r="B67" s="8" t="s">
        <v>24</v>
      </c>
      <c r="C67" s="7" t="s">
        <v>25</v>
      </c>
      <c r="D67" s="1">
        <v>0.85</v>
      </c>
      <c r="E67" s="1">
        <v>6.6349206350000003</v>
      </c>
      <c r="F67" s="4" t="s">
        <v>20</v>
      </c>
      <c r="G67" s="1">
        <f t="shared" si="1"/>
        <v>100</v>
      </c>
      <c r="H67" s="1"/>
      <c r="I67" s="1"/>
      <c r="J67" s="1"/>
      <c r="K67" s="1">
        <f t="shared" si="2"/>
        <v>100</v>
      </c>
      <c r="L67" s="1">
        <v>10</v>
      </c>
      <c r="M67" s="1">
        <v>10</v>
      </c>
      <c r="N67" s="1">
        <v>10</v>
      </c>
      <c r="O67" s="1">
        <v>10</v>
      </c>
      <c r="P67" s="1">
        <v>10</v>
      </c>
      <c r="Q67" s="1">
        <v>10</v>
      </c>
      <c r="R67" s="1">
        <v>10</v>
      </c>
      <c r="S67" s="1">
        <v>10</v>
      </c>
      <c r="T67" s="1">
        <v>10</v>
      </c>
      <c r="U67" s="1">
        <v>10</v>
      </c>
    </row>
    <row r="68" spans="1:21" ht="32" x14ac:dyDescent="0.2">
      <c r="A68" s="6">
        <v>16</v>
      </c>
      <c r="B68" s="8" t="s">
        <v>24</v>
      </c>
      <c r="C68" s="7" t="s">
        <v>25</v>
      </c>
      <c r="D68" s="1">
        <v>1.1000000000000001</v>
      </c>
      <c r="E68" s="1">
        <v>24.10526316</v>
      </c>
      <c r="F68" s="4" t="s">
        <v>20</v>
      </c>
      <c r="G68" s="1">
        <f t="shared" si="1"/>
        <v>100</v>
      </c>
      <c r="H68" s="1"/>
      <c r="I68" s="1"/>
      <c r="J68" s="1"/>
      <c r="K68" s="1">
        <f t="shared" si="2"/>
        <v>100</v>
      </c>
      <c r="L68" s="1">
        <v>10</v>
      </c>
      <c r="M68" s="1">
        <v>10</v>
      </c>
      <c r="N68" s="1">
        <v>10</v>
      </c>
      <c r="O68" s="1">
        <v>10</v>
      </c>
      <c r="P68" s="1">
        <v>10</v>
      </c>
      <c r="Q68" s="1">
        <v>10</v>
      </c>
      <c r="R68" s="1">
        <v>10</v>
      </c>
      <c r="S68" s="1">
        <v>10</v>
      </c>
      <c r="T68" s="1">
        <v>10</v>
      </c>
      <c r="U68" s="1">
        <v>10</v>
      </c>
    </row>
    <row r="69" spans="1:21" ht="32" x14ac:dyDescent="0.2">
      <c r="A69" s="6">
        <v>17</v>
      </c>
      <c r="B69" s="8" t="s">
        <v>24</v>
      </c>
      <c r="C69" s="7" t="s">
        <v>25</v>
      </c>
      <c r="D69" s="1">
        <v>1.02</v>
      </c>
      <c r="E69" s="1">
        <v>13.863636359999999</v>
      </c>
      <c r="F69" s="4" t="s">
        <v>20</v>
      </c>
      <c r="G69" s="1">
        <f t="shared" ref="G69:G132" si="5">AVERAGE(L69:U69)*10</f>
        <v>100</v>
      </c>
      <c r="H69" s="1"/>
      <c r="I69" s="1"/>
      <c r="J69" s="1"/>
      <c r="K69" s="1">
        <f t="shared" ref="K69:K132" si="6">AVERAGE(Q69:U69)*10</f>
        <v>100</v>
      </c>
      <c r="L69" s="1">
        <v>10</v>
      </c>
      <c r="M69" s="1">
        <v>10</v>
      </c>
      <c r="N69" s="1">
        <v>10</v>
      </c>
      <c r="O69" s="1">
        <v>10</v>
      </c>
      <c r="P69" s="1">
        <v>10</v>
      </c>
      <c r="Q69" s="1">
        <v>10</v>
      </c>
      <c r="R69" s="1">
        <v>10</v>
      </c>
      <c r="S69" s="1">
        <v>10</v>
      </c>
      <c r="T69" s="1">
        <v>10</v>
      </c>
      <c r="U69" s="1">
        <v>10</v>
      </c>
    </row>
    <row r="70" spans="1:21" ht="32" x14ac:dyDescent="0.2">
      <c r="A70" s="6">
        <v>18</v>
      </c>
      <c r="B70" s="8" t="s">
        <v>24</v>
      </c>
      <c r="C70" s="7" t="s">
        <v>25</v>
      </c>
      <c r="D70" s="1">
        <v>1.01</v>
      </c>
      <c r="E70" s="1">
        <v>14.700854700000001</v>
      </c>
      <c r="F70" s="4" t="s">
        <v>20</v>
      </c>
      <c r="G70" s="1">
        <f t="shared" si="5"/>
        <v>100</v>
      </c>
      <c r="H70" s="1"/>
      <c r="I70" s="1"/>
      <c r="J70" s="1"/>
      <c r="K70" s="1">
        <f t="shared" si="6"/>
        <v>100</v>
      </c>
      <c r="L70" s="1">
        <v>10</v>
      </c>
      <c r="M70" s="1">
        <v>10</v>
      </c>
      <c r="N70" s="1">
        <v>10</v>
      </c>
      <c r="O70" s="1">
        <v>10</v>
      </c>
      <c r="P70" s="1">
        <v>10</v>
      </c>
      <c r="Q70" s="1">
        <v>10</v>
      </c>
      <c r="R70" s="1">
        <v>10</v>
      </c>
      <c r="S70" s="1">
        <v>10</v>
      </c>
      <c r="T70" s="1">
        <v>10</v>
      </c>
      <c r="U70" s="1">
        <v>10</v>
      </c>
    </row>
    <row r="71" spans="1:21" ht="32" x14ac:dyDescent="0.2">
      <c r="A71" s="6">
        <v>19</v>
      </c>
      <c r="B71" s="8" t="s">
        <v>24</v>
      </c>
      <c r="C71" s="7" t="s">
        <v>25</v>
      </c>
      <c r="D71" s="1">
        <v>0.99</v>
      </c>
      <c r="E71" s="1">
        <v>7.3333333329999997</v>
      </c>
      <c r="F71" s="4" t="s">
        <v>20</v>
      </c>
      <c r="G71" s="1">
        <f t="shared" si="5"/>
        <v>56</v>
      </c>
      <c r="H71" s="1"/>
      <c r="I71" s="1"/>
      <c r="J71" s="1"/>
      <c r="K71" s="1">
        <f t="shared" si="6"/>
        <v>48</v>
      </c>
      <c r="L71" s="1">
        <v>10</v>
      </c>
      <c r="M71" s="1">
        <v>5</v>
      </c>
      <c r="N71" s="1">
        <v>5</v>
      </c>
      <c r="O71" s="1">
        <v>4</v>
      </c>
      <c r="P71" s="1">
        <v>8</v>
      </c>
      <c r="Q71" s="1">
        <v>3</v>
      </c>
      <c r="R71" s="1">
        <v>5</v>
      </c>
      <c r="S71" s="1">
        <v>3</v>
      </c>
      <c r="T71" s="1">
        <v>7</v>
      </c>
      <c r="U71" s="1">
        <v>6</v>
      </c>
    </row>
    <row r="72" spans="1:21" ht="32" x14ac:dyDescent="0.2">
      <c r="A72" s="6">
        <v>20</v>
      </c>
      <c r="B72" s="8" t="s">
        <v>24</v>
      </c>
      <c r="C72" s="7" t="s">
        <v>25</v>
      </c>
      <c r="D72" s="1">
        <v>0.99</v>
      </c>
      <c r="E72" s="1">
        <v>9.5172413789999997</v>
      </c>
      <c r="F72" s="4" t="s">
        <v>20</v>
      </c>
      <c r="G72" s="1">
        <f t="shared" si="5"/>
        <v>100</v>
      </c>
      <c r="H72" s="1"/>
      <c r="I72" s="1"/>
      <c r="J72" s="1"/>
      <c r="K72" s="1">
        <f t="shared" si="6"/>
        <v>100</v>
      </c>
      <c r="L72" s="1">
        <v>10</v>
      </c>
      <c r="M72" s="1">
        <v>10</v>
      </c>
      <c r="N72" s="1">
        <v>10</v>
      </c>
      <c r="O72" s="1">
        <v>10</v>
      </c>
      <c r="P72" s="1">
        <v>10</v>
      </c>
      <c r="Q72" s="1">
        <v>10</v>
      </c>
      <c r="R72" s="1">
        <v>10</v>
      </c>
      <c r="S72" s="1">
        <v>10</v>
      </c>
      <c r="T72" s="1">
        <v>10</v>
      </c>
      <c r="U72" s="1">
        <v>10</v>
      </c>
    </row>
    <row r="73" spans="1:21" ht="32" x14ac:dyDescent="0.2">
      <c r="A73" s="6">
        <v>21</v>
      </c>
      <c r="B73" s="8" t="s">
        <v>24</v>
      </c>
      <c r="C73" s="7" t="s">
        <v>25</v>
      </c>
      <c r="D73" s="1">
        <v>1.04</v>
      </c>
      <c r="E73" s="1">
        <v>10.26315789</v>
      </c>
      <c r="F73" s="4" t="s">
        <v>20</v>
      </c>
      <c r="G73" s="1">
        <f t="shared" si="5"/>
        <v>100</v>
      </c>
      <c r="H73" s="1"/>
      <c r="I73" s="1"/>
      <c r="J73" s="1"/>
      <c r="K73" s="1">
        <f t="shared" si="6"/>
        <v>100</v>
      </c>
      <c r="L73" s="1">
        <v>10</v>
      </c>
      <c r="M73" s="1">
        <v>10</v>
      </c>
      <c r="N73" s="1">
        <v>10</v>
      </c>
      <c r="O73" s="1">
        <v>10</v>
      </c>
      <c r="P73" s="1">
        <v>10</v>
      </c>
      <c r="Q73" s="1">
        <v>10</v>
      </c>
      <c r="R73" s="1">
        <v>10</v>
      </c>
      <c r="S73" s="1">
        <v>10</v>
      </c>
      <c r="T73" s="1">
        <v>10</v>
      </c>
      <c r="U73" s="1">
        <v>10</v>
      </c>
    </row>
    <row r="74" spans="1:21" ht="32" x14ac:dyDescent="0.2">
      <c r="A74" s="6">
        <v>22</v>
      </c>
      <c r="B74" s="8" t="s">
        <v>24</v>
      </c>
      <c r="C74" s="7" t="s">
        <v>25</v>
      </c>
      <c r="D74" s="1">
        <v>1.01</v>
      </c>
      <c r="E74" s="1">
        <v>10.098522170000001</v>
      </c>
      <c r="F74" s="4" t="s">
        <v>20</v>
      </c>
      <c r="G74" s="1">
        <f t="shared" si="5"/>
        <v>100</v>
      </c>
      <c r="H74" s="1"/>
      <c r="I74" s="1"/>
      <c r="J74" s="1"/>
      <c r="K74" s="1">
        <f t="shared" si="6"/>
        <v>100</v>
      </c>
      <c r="L74" s="1">
        <v>10</v>
      </c>
      <c r="M74" s="1">
        <v>10</v>
      </c>
      <c r="N74" s="1">
        <v>10</v>
      </c>
      <c r="O74" s="1">
        <v>10</v>
      </c>
      <c r="P74" s="1">
        <v>10</v>
      </c>
      <c r="Q74" s="1">
        <v>10</v>
      </c>
      <c r="R74" s="1">
        <v>10</v>
      </c>
      <c r="S74" s="1">
        <v>10</v>
      </c>
      <c r="T74" s="1">
        <v>10</v>
      </c>
      <c r="U74" s="1">
        <v>10</v>
      </c>
    </row>
    <row r="75" spans="1:21" ht="32" x14ac:dyDescent="0.2">
      <c r="A75" s="6">
        <v>23</v>
      </c>
      <c r="B75" s="8" t="s">
        <v>24</v>
      </c>
      <c r="C75" s="7" t="s">
        <v>25</v>
      </c>
      <c r="D75" s="1">
        <v>0.94</v>
      </c>
      <c r="E75" s="1">
        <v>4.3949044590000002</v>
      </c>
      <c r="F75" s="4" t="s">
        <v>20</v>
      </c>
      <c r="G75" s="1">
        <f t="shared" si="5"/>
        <v>100</v>
      </c>
      <c r="H75" s="1"/>
      <c r="I75" s="1"/>
      <c r="J75" s="1"/>
      <c r="K75" s="1">
        <f t="shared" si="6"/>
        <v>100</v>
      </c>
      <c r="L75" s="1">
        <v>10</v>
      </c>
      <c r="M75" s="1">
        <v>10</v>
      </c>
      <c r="N75" s="1">
        <v>10</v>
      </c>
      <c r="O75" s="1">
        <v>10</v>
      </c>
      <c r="P75" s="1">
        <v>10</v>
      </c>
      <c r="Q75" s="1">
        <v>10</v>
      </c>
      <c r="R75" s="1">
        <v>10</v>
      </c>
      <c r="S75" s="1">
        <v>10</v>
      </c>
      <c r="T75" s="1">
        <v>10</v>
      </c>
      <c r="U75" s="1">
        <v>10</v>
      </c>
    </row>
    <row r="76" spans="1:21" ht="32" x14ac:dyDescent="0.2">
      <c r="A76" s="6">
        <v>24</v>
      </c>
      <c r="B76" s="8" t="s">
        <v>24</v>
      </c>
      <c r="C76" s="7" t="s">
        <v>25</v>
      </c>
      <c r="D76" s="1">
        <v>1.17</v>
      </c>
      <c r="E76" s="1">
        <v>4.3726235740000003</v>
      </c>
      <c r="F76" s="4" t="s">
        <v>20</v>
      </c>
      <c r="G76" s="1">
        <f t="shared" si="5"/>
        <v>100</v>
      </c>
      <c r="H76" s="1"/>
      <c r="I76" s="1"/>
      <c r="J76" s="1"/>
      <c r="K76" s="1">
        <f t="shared" si="6"/>
        <v>100</v>
      </c>
      <c r="L76" s="1">
        <v>10</v>
      </c>
      <c r="M76" s="1">
        <v>10</v>
      </c>
      <c r="N76" s="1">
        <v>10</v>
      </c>
      <c r="O76" s="1">
        <v>10</v>
      </c>
      <c r="P76" s="1">
        <v>10</v>
      </c>
      <c r="Q76" s="1">
        <v>10</v>
      </c>
      <c r="R76" s="1">
        <v>10</v>
      </c>
      <c r="S76" s="1">
        <v>10</v>
      </c>
      <c r="T76" s="1">
        <v>10</v>
      </c>
      <c r="U76" s="1">
        <v>10</v>
      </c>
    </row>
    <row r="77" spans="1:21" ht="32" x14ac:dyDescent="0.2">
      <c r="A77" s="6">
        <v>25</v>
      </c>
      <c r="B77" s="8" t="s">
        <v>24</v>
      </c>
      <c r="C77" s="7" t="s">
        <v>25</v>
      </c>
      <c r="D77" s="1">
        <v>1.01</v>
      </c>
      <c r="E77" s="1">
        <v>5.9217877090000002</v>
      </c>
      <c r="F77" s="4" t="s">
        <v>20</v>
      </c>
      <c r="G77" s="1">
        <f t="shared" si="5"/>
        <v>100</v>
      </c>
      <c r="H77" s="1"/>
      <c r="I77" s="1"/>
      <c r="J77" s="1"/>
      <c r="K77" s="1">
        <f t="shared" si="6"/>
        <v>100</v>
      </c>
      <c r="L77" s="1">
        <v>10</v>
      </c>
      <c r="M77" s="1">
        <v>10</v>
      </c>
      <c r="N77" s="1">
        <v>10</v>
      </c>
      <c r="O77" s="1">
        <v>10</v>
      </c>
      <c r="P77" s="1">
        <v>10</v>
      </c>
      <c r="Q77" s="1">
        <v>10</v>
      </c>
      <c r="R77" s="1">
        <v>10</v>
      </c>
      <c r="S77" s="1">
        <v>10</v>
      </c>
      <c r="T77" s="1">
        <v>10</v>
      </c>
      <c r="U77" s="1">
        <v>10</v>
      </c>
    </row>
    <row r="78" spans="1:21" ht="32" x14ac:dyDescent="0.2">
      <c r="A78" s="6">
        <v>26</v>
      </c>
      <c r="B78" s="8" t="s">
        <v>24</v>
      </c>
      <c r="C78" s="7" t="s">
        <v>25</v>
      </c>
      <c r="D78" s="1">
        <v>1.1599999999999999</v>
      </c>
      <c r="E78" s="1">
        <v>5.3783783779999998</v>
      </c>
      <c r="F78" s="4" t="s">
        <v>20</v>
      </c>
      <c r="G78" s="1">
        <f t="shared" si="5"/>
        <v>100</v>
      </c>
      <c r="H78" s="1"/>
      <c r="I78" s="1"/>
      <c r="J78" s="1"/>
      <c r="K78" s="1">
        <f t="shared" si="6"/>
        <v>100</v>
      </c>
      <c r="L78" s="1">
        <v>10</v>
      </c>
      <c r="M78" s="1">
        <v>10</v>
      </c>
      <c r="N78" s="1">
        <v>10</v>
      </c>
      <c r="O78" s="1">
        <v>10</v>
      </c>
      <c r="P78" s="1">
        <v>10</v>
      </c>
      <c r="Q78" s="1">
        <v>10</v>
      </c>
      <c r="R78" s="1">
        <v>10</v>
      </c>
      <c r="S78" s="1">
        <v>10</v>
      </c>
      <c r="T78" s="1">
        <v>10</v>
      </c>
      <c r="U78" s="1">
        <v>10</v>
      </c>
    </row>
    <row r="79" spans="1:21" ht="32" x14ac:dyDescent="0.2">
      <c r="A79" s="6">
        <v>27</v>
      </c>
      <c r="B79" s="8" t="s">
        <v>24</v>
      </c>
      <c r="C79" s="7" t="s">
        <v>25</v>
      </c>
      <c r="D79" s="1">
        <v>1.08</v>
      </c>
      <c r="E79" s="1">
        <v>7.6276276279999999</v>
      </c>
      <c r="F79" s="4" t="s">
        <v>20</v>
      </c>
      <c r="G79" s="1">
        <f t="shared" si="5"/>
        <v>68</v>
      </c>
      <c r="H79" s="1"/>
      <c r="I79" s="1"/>
      <c r="J79" s="1"/>
      <c r="K79" s="1">
        <f t="shared" si="6"/>
        <v>62</v>
      </c>
      <c r="L79" s="1">
        <v>10</v>
      </c>
      <c r="M79" s="1">
        <v>10</v>
      </c>
      <c r="N79" s="1">
        <v>6</v>
      </c>
      <c r="O79" s="1">
        <v>5</v>
      </c>
      <c r="P79" s="1">
        <v>6</v>
      </c>
      <c r="Q79" s="1">
        <v>7</v>
      </c>
      <c r="R79" s="1">
        <v>6</v>
      </c>
      <c r="S79" s="1">
        <v>8</v>
      </c>
      <c r="T79" s="1">
        <v>7</v>
      </c>
      <c r="U79" s="1">
        <v>3</v>
      </c>
    </row>
    <row r="80" spans="1:21" ht="32" x14ac:dyDescent="0.2">
      <c r="A80" s="6">
        <v>28</v>
      </c>
      <c r="B80" s="8" t="s">
        <v>24</v>
      </c>
      <c r="C80" s="7" t="s">
        <v>25</v>
      </c>
      <c r="D80" s="1">
        <v>0.99</v>
      </c>
      <c r="E80" s="1">
        <v>5.4577464789999999</v>
      </c>
      <c r="F80" s="4" t="s">
        <v>20</v>
      </c>
      <c r="G80" s="1">
        <f t="shared" si="5"/>
        <v>100</v>
      </c>
      <c r="H80" s="1"/>
      <c r="I80" s="1"/>
      <c r="J80" s="1"/>
      <c r="K80" s="1">
        <f t="shared" si="6"/>
        <v>100</v>
      </c>
      <c r="L80" s="1">
        <v>10</v>
      </c>
      <c r="M80" s="1">
        <v>10</v>
      </c>
      <c r="N80" s="1">
        <v>10</v>
      </c>
      <c r="O80" s="1">
        <v>10</v>
      </c>
      <c r="P80" s="1">
        <v>10</v>
      </c>
      <c r="Q80" s="1">
        <v>10</v>
      </c>
      <c r="R80" s="1">
        <v>10</v>
      </c>
      <c r="S80" s="1">
        <v>10</v>
      </c>
      <c r="T80" s="1">
        <v>10</v>
      </c>
      <c r="U80" s="1">
        <v>10</v>
      </c>
    </row>
    <row r="81" spans="1:32" ht="32" x14ac:dyDescent="0.2">
      <c r="A81" s="6">
        <v>29</v>
      </c>
      <c r="B81" s="8" t="s">
        <v>24</v>
      </c>
      <c r="C81" s="7" t="s">
        <v>25</v>
      </c>
      <c r="D81" s="1">
        <v>1.32</v>
      </c>
      <c r="E81" s="1">
        <v>14.179104479999999</v>
      </c>
      <c r="F81" s="4" t="s">
        <v>23</v>
      </c>
      <c r="G81" s="1">
        <f t="shared" si="5"/>
        <v>84</v>
      </c>
      <c r="H81" s="1"/>
      <c r="I81" s="1"/>
      <c r="J81" s="1"/>
      <c r="K81" s="1">
        <f t="shared" si="6"/>
        <v>70</v>
      </c>
      <c r="L81" s="1">
        <v>10</v>
      </c>
      <c r="M81" s="1">
        <v>10</v>
      </c>
      <c r="N81" s="1">
        <v>10</v>
      </c>
      <c r="O81" s="1">
        <v>10</v>
      </c>
      <c r="P81" s="1">
        <v>9</v>
      </c>
      <c r="Q81" s="1">
        <v>8</v>
      </c>
      <c r="R81" s="1">
        <v>8</v>
      </c>
      <c r="S81" s="1">
        <v>7</v>
      </c>
      <c r="T81" s="1">
        <v>6</v>
      </c>
      <c r="U81" s="1">
        <v>6</v>
      </c>
    </row>
    <row r="82" spans="1:32" ht="32" x14ac:dyDescent="0.2">
      <c r="A82" s="6">
        <v>30</v>
      </c>
      <c r="B82" s="8" t="s">
        <v>24</v>
      </c>
      <c r="C82" s="7" t="s">
        <v>25</v>
      </c>
      <c r="D82" s="1">
        <v>1.0900000000000001</v>
      </c>
      <c r="E82" s="1">
        <v>1.67961165</v>
      </c>
      <c r="F82" s="4" t="s">
        <v>23</v>
      </c>
      <c r="G82" s="1">
        <f t="shared" si="5"/>
        <v>29</v>
      </c>
      <c r="H82" s="1"/>
      <c r="I82" s="1"/>
      <c r="J82" s="1"/>
      <c r="K82" s="1">
        <f t="shared" si="6"/>
        <v>24</v>
      </c>
      <c r="L82" s="1">
        <v>9</v>
      </c>
      <c r="M82" s="1">
        <v>0</v>
      </c>
      <c r="N82" s="1">
        <v>1</v>
      </c>
      <c r="O82" s="1">
        <v>3</v>
      </c>
      <c r="P82" s="1">
        <v>4</v>
      </c>
      <c r="Q82" s="1">
        <v>3</v>
      </c>
      <c r="R82" s="1">
        <v>2</v>
      </c>
      <c r="S82" s="1">
        <v>3</v>
      </c>
      <c r="T82" s="1">
        <v>2</v>
      </c>
      <c r="U82" s="1">
        <v>2</v>
      </c>
    </row>
    <row r="83" spans="1:32" ht="32" x14ac:dyDescent="0.2">
      <c r="A83" s="6">
        <v>31</v>
      </c>
      <c r="B83" s="8" t="s">
        <v>24</v>
      </c>
      <c r="C83" s="7" t="s">
        <v>25</v>
      </c>
      <c r="D83" s="1">
        <v>0.94</v>
      </c>
      <c r="E83" s="1">
        <v>16.242038220000001</v>
      </c>
      <c r="F83" s="4" t="s">
        <v>23</v>
      </c>
      <c r="G83" s="1">
        <f t="shared" si="5"/>
        <v>100</v>
      </c>
      <c r="H83" s="1"/>
      <c r="I83" s="1"/>
      <c r="J83" s="1"/>
      <c r="K83" s="1">
        <f t="shared" si="6"/>
        <v>100</v>
      </c>
      <c r="L83" s="1">
        <v>10</v>
      </c>
      <c r="M83" s="1">
        <v>10</v>
      </c>
      <c r="N83" s="1">
        <v>10</v>
      </c>
      <c r="O83" s="1">
        <v>10</v>
      </c>
      <c r="P83" s="1">
        <v>10</v>
      </c>
      <c r="Q83" s="1">
        <v>10</v>
      </c>
      <c r="R83" s="1">
        <v>10</v>
      </c>
      <c r="S83" s="1">
        <v>10</v>
      </c>
      <c r="T83" s="1">
        <v>10</v>
      </c>
      <c r="U83" s="1">
        <v>10</v>
      </c>
    </row>
    <row r="84" spans="1:32" ht="32" x14ac:dyDescent="0.2">
      <c r="A84" s="6">
        <v>32</v>
      </c>
      <c r="B84" s="8" t="s">
        <v>24</v>
      </c>
      <c r="C84" s="7" t="s">
        <v>25</v>
      </c>
      <c r="D84" s="1">
        <v>1.01</v>
      </c>
      <c r="E84" s="1">
        <v>3.6946760740000002</v>
      </c>
      <c r="F84" s="4" t="s">
        <v>23</v>
      </c>
      <c r="G84" s="1">
        <f t="shared" si="5"/>
        <v>28</v>
      </c>
      <c r="H84" s="1"/>
      <c r="I84" s="1"/>
      <c r="J84" s="1"/>
      <c r="K84" s="1">
        <f t="shared" si="6"/>
        <v>14</v>
      </c>
      <c r="L84" s="1">
        <v>10</v>
      </c>
      <c r="M84" s="1">
        <v>4</v>
      </c>
      <c r="N84" s="1">
        <v>4</v>
      </c>
      <c r="O84" s="1">
        <v>3</v>
      </c>
      <c r="P84" s="1">
        <v>0</v>
      </c>
      <c r="Q84" s="1">
        <v>1</v>
      </c>
      <c r="R84" s="1">
        <v>0</v>
      </c>
      <c r="S84" s="1">
        <v>2</v>
      </c>
      <c r="T84" s="1">
        <v>1</v>
      </c>
      <c r="U84" s="1">
        <v>3</v>
      </c>
    </row>
    <row r="85" spans="1:32" ht="32" x14ac:dyDescent="0.2">
      <c r="A85" s="6">
        <v>33</v>
      </c>
      <c r="B85" s="8" t="s">
        <v>24</v>
      </c>
      <c r="C85" s="7" t="s">
        <v>25</v>
      </c>
      <c r="D85" s="1">
        <v>0.94</v>
      </c>
      <c r="E85" s="1">
        <v>7.1107828660000001</v>
      </c>
      <c r="F85" s="4" t="s">
        <v>23</v>
      </c>
      <c r="G85" s="1">
        <f t="shared" si="5"/>
        <v>78</v>
      </c>
      <c r="H85" s="1"/>
      <c r="I85" s="1"/>
      <c r="J85" s="1"/>
      <c r="K85" s="1">
        <f t="shared" si="6"/>
        <v>68</v>
      </c>
      <c r="L85" s="1">
        <v>10</v>
      </c>
      <c r="M85" s="1">
        <v>10</v>
      </c>
      <c r="N85" s="1">
        <v>10</v>
      </c>
      <c r="O85" s="1">
        <v>7</v>
      </c>
      <c r="P85" s="1">
        <v>7</v>
      </c>
      <c r="Q85" s="1">
        <v>6</v>
      </c>
      <c r="R85" s="1">
        <v>9</v>
      </c>
      <c r="S85" s="1">
        <v>7</v>
      </c>
      <c r="T85" s="1">
        <v>6</v>
      </c>
      <c r="U85" s="1">
        <v>6</v>
      </c>
    </row>
    <row r="86" spans="1:32" ht="32" x14ac:dyDescent="0.2">
      <c r="A86" s="6">
        <v>34</v>
      </c>
      <c r="B86" s="8" t="s">
        <v>24</v>
      </c>
      <c r="C86" s="7" t="s">
        <v>25</v>
      </c>
      <c r="D86" s="1">
        <v>0.9</v>
      </c>
      <c r="E86" s="1">
        <v>14.097222220000001</v>
      </c>
      <c r="F86" s="4" t="s">
        <v>23</v>
      </c>
      <c r="G86" s="1">
        <f t="shared" si="5"/>
        <v>100</v>
      </c>
      <c r="H86" s="1"/>
      <c r="I86" s="1"/>
      <c r="J86" s="1"/>
      <c r="K86" s="1">
        <f t="shared" si="6"/>
        <v>100</v>
      </c>
      <c r="L86" s="1">
        <v>10</v>
      </c>
      <c r="M86" s="1">
        <v>10</v>
      </c>
      <c r="N86" s="1">
        <v>10</v>
      </c>
      <c r="O86" s="1">
        <v>10</v>
      </c>
      <c r="P86" s="1">
        <v>10</v>
      </c>
      <c r="Q86" s="1">
        <v>10</v>
      </c>
      <c r="R86" s="1">
        <v>10</v>
      </c>
      <c r="S86" s="1">
        <v>10</v>
      </c>
      <c r="T86" s="1">
        <v>10</v>
      </c>
      <c r="U86" s="1">
        <v>10</v>
      </c>
    </row>
    <row r="87" spans="1:32" ht="32" x14ac:dyDescent="0.2">
      <c r="A87" s="6">
        <v>35</v>
      </c>
      <c r="B87" s="8" t="s">
        <v>24</v>
      </c>
      <c r="C87" s="7" t="s">
        <v>25</v>
      </c>
      <c r="D87" s="1">
        <v>0.97</v>
      </c>
      <c r="E87" s="1">
        <v>3.3928571430000001</v>
      </c>
      <c r="F87" s="4" t="s">
        <v>23</v>
      </c>
      <c r="G87" s="1">
        <f t="shared" si="5"/>
        <v>97</v>
      </c>
      <c r="H87" s="1"/>
      <c r="I87" s="1"/>
      <c r="J87" s="1"/>
      <c r="K87" s="1">
        <f t="shared" si="6"/>
        <v>94</v>
      </c>
      <c r="L87" s="1">
        <v>10</v>
      </c>
      <c r="M87" s="1">
        <v>10</v>
      </c>
      <c r="N87" s="1">
        <v>10</v>
      </c>
      <c r="O87" s="1">
        <v>10</v>
      </c>
      <c r="P87" s="1">
        <v>10</v>
      </c>
      <c r="Q87" s="1">
        <v>9</v>
      </c>
      <c r="R87" s="1">
        <v>9</v>
      </c>
      <c r="S87" s="1">
        <v>9</v>
      </c>
      <c r="T87" s="1">
        <v>10</v>
      </c>
      <c r="U87" s="1">
        <v>10</v>
      </c>
    </row>
    <row r="88" spans="1:32" ht="32" x14ac:dyDescent="0.2">
      <c r="A88" s="6">
        <v>36</v>
      </c>
      <c r="B88" s="8" t="s">
        <v>24</v>
      </c>
      <c r="C88" s="7" t="s">
        <v>25</v>
      </c>
      <c r="D88" s="1">
        <v>0.94</v>
      </c>
      <c r="E88" s="1">
        <v>2.9312424610000001</v>
      </c>
      <c r="F88" s="4" t="s">
        <v>23</v>
      </c>
      <c r="G88" s="1">
        <f t="shared" si="5"/>
        <v>91</v>
      </c>
      <c r="H88" s="1"/>
      <c r="I88" s="1"/>
      <c r="J88" s="1"/>
      <c r="K88" s="1">
        <f t="shared" si="6"/>
        <v>82</v>
      </c>
      <c r="L88" s="1">
        <v>10</v>
      </c>
      <c r="M88" s="1">
        <v>10</v>
      </c>
      <c r="N88" s="1">
        <v>10</v>
      </c>
      <c r="O88" s="1">
        <v>10</v>
      </c>
      <c r="P88" s="1">
        <v>10</v>
      </c>
      <c r="Q88" s="1">
        <v>9</v>
      </c>
      <c r="R88" s="1">
        <v>8</v>
      </c>
      <c r="S88" s="1">
        <v>10</v>
      </c>
      <c r="T88" s="1">
        <v>9</v>
      </c>
      <c r="U88" s="1">
        <v>5</v>
      </c>
    </row>
    <row r="89" spans="1:32" ht="32" x14ac:dyDescent="0.2">
      <c r="A89" s="6">
        <v>37</v>
      </c>
      <c r="B89" s="8" t="s">
        <v>24</v>
      </c>
      <c r="C89" s="7" t="s">
        <v>25</v>
      </c>
      <c r="D89" s="1">
        <v>0.94</v>
      </c>
      <c r="E89" s="1">
        <v>6.061643836</v>
      </c>
      <c r="F89" s="4" t="s">
        <v>23</v>
      </c>
      <c r="G89" s="1">
        <f t="shared" si="5"/>
        <v>100</v>
      </c>
      <c r="H89" s="1"/>
      <c r="I89" s="1"/>
      <c r="J89" s="1"/>
      <c r="K89" s="1">
        <f t="shared" si="6"/>
        <v>100</v>
      </c>
      <c r="L89" s="1">
        <v>10</v>
      </c>
      <c r="M89" s="1">
        <v>10</v>
      </c>
      <c r="N89" s="1">
        <v>10</v>
      </c>
      <c r="O89" s="1">
        <v>10</v>
      </c>
      <c r="P89" s="1">
        <v>10</v>
      </c>
      <c r="Q89" s="1">
        <v>10</v>
      </c>
      <c r="R89" s="1">
        <v>10</v>
      </c>
      <c r="S89" s="1">
        <v>10</v>
      </c>
      <c r="T89" s="1">
        <v>10</v>
      </c>
      <c r="U89" s="1">
        <v>10</v>
      </c>
    </row>
    <row r="90" spans="1:32" ht="32" x14ac:dyDescent="0.2">
      <c r="A90" s="6">
        <v>38</v>
      </c>
      <c r="B90" s="8" t="s">
        <v>24</v>
      </c>
      <c r="C90" s="7" t="s">
        <v>25</v>
      </c>
      <c r="D90" s="1">
        <v>1.17</v>
      </c>
      <c r="E90" s="1">
        <v>3.6445497630000001</v>
      </c>
      <c r="F90" s="4" t="s">
        <v>23</v>
      </c>
      <c r="G90" s="1">
        <f t="shared" si="5"/>
        <v>100</v>
      </c>
      <c r="H90" s="1"/>
      <c r="I90" s="1"/>
      <c r="J90" s="1"/>
      <c r="K90" s="1">
        <f t="shared" si="6"/>
        <v>100</v>
      </c>
      <c r="L90" s="1">
        <v>10</v>
      </c>
      <c r="M90" s="1">
        <v>10</v>
      </c>
      <c r="N90" s="1">
        <v>10</v>
      </c>
      <c r="O90" s="1">
        <v>10</v>
      </c>
      <c r="P90" s="1">
        <v>10</v>
      </c>
      <c r="Q90" s="1">
        <v>10</v>
      </c>
      <c r="R90" s="1">
        <v>10</v>
      </c>
      <c r="S90" s="1">
        <v>10</v>
      </c>
      <c r="T90" s="1">
        <v>10</v>
      </c>
      <c r="U90" s="1">
        <v>10</v>
      </c>
    </row>
    <row r="91" spans="1:32" ht="32" x14ac:dyDescent="0.2">
      <c r="A91" s="6">
        <v>1</v>
      </c>
      <c r="B91" s="8" t="s">
        <v>26</v>
      </c>
      <c r="C91" s="7" t="s">
        <v>27</v>
      </c>
      <c r="D91" s="1">
        <v>1.04</v>
      </c>
      <c r="E91" s="1">
        <v>1.577889447</v>
      </c>
      <c r="F91" s="4" t="s">
        <v>20</v>
      </c>
      <c r="G91" s="1">
        <f t="shared" si="5"/>
        <v>100</v>
      </c>
      <c r="H91" s="1"/>
      <c r="I91" s="1"/>
      <c r="J91" s="1"/>
      <c r="K91" s="1">
        <f t="shared" si="6"/>
        <v>100</v>
      </c>
      <c r="L91" s="1">
        <v>10</v>
      </c>
      <c r="M91" s="1">
        <v>10</v>
      </c>
      <c r="N91" s="1">
        <v>10</v>
      </c>
      <c r="O91" s="1">
        <v>10</v>
      </c>
      <c r="P91" s="1">
        <v>10</v>
      </c>
      <c r="Q91" s="1">
        <v>10</v>
      </c>
      <c r="R91" s="1">
        <v>10</v>
      </c>
      <c r="S91" s="1">
        <v>10</v>
      </c>
      <c r="T91" s="1">
        <v>10</v>
      </c>
      <c r="U91" s="1">
        <v>10</v>
      </c>
      <c r="W91">
        <f>AVERAGE(L91:L103)*10</f>
        <v>86.92307692307692</v>
      </c>
      <c r="X91">
        <f t="shared" ref="X91:AF91" si="7">AVERAGE(M91:M103)*10</f>
        <v>56.923076923076927</v>
      </c>
      <c r="Y91">
        <f t="shared" si="7"/>
        <v>54.615384615384613</v>
      </c>
      <c r="Z91">
        <f t="shared" si="7"/>
        <v>50</v>
      </c>
      <c r="AA91">
        <f t="shared" si="7"/>
        <v>50</v>
      </c>
      <c r="AB91">
        <f t="shared" si="7"/>
        <v>43.076923076923073</v>
      </c>
      <c r="AC91">
        <f t="shared" si="7"/>
        <v>43.076923076923073</v>
      </c>
      <c r="AD91">
        <f t="shared" si="7"/>
        <v>48.46153846153846</v>
      </c>
      <c r="AE91">
        <f t="shared" si="7"/>
        <v>47.692307692307693</v>
      </c>
      <c r="AF91">
        <f t="shared" si="7"/>
        <v>46.153846153846146</v>
      </c>
    </row>
    <row r="92" spans="1:32" ht="32" x14ac:dyDescent="0.2">
      <c r="A92" s="6">
        <v>2</v>
      </c>
      <c r="B92" s="8" t="s">
        <v>26</v>
      </c>
      <c r="C92" s="7" t="s">
        <v>27</v>
      </c>
      <c r="D92" s="1">
        <v>1.0900000000000001</v>
      </c>
      <c r="E92" s="1">
        <v>5.2615062760000004</v>
      </c>
      <c r="F92" s="4" t="s">
        <v>20</v>
      </c>
      <c r="G92" s="1">
        <f t="shared" si="5"/>
        <v>10</v>
      </c>
      <c r="H92" s="1"/>
      <c r="I92" s="1"/>
      <c r="J92" s="1"/>
      <c r="K92" s="1">
        <f t="shared" si="6"/>
        <v>0</v>
      </c>
      <c r="L92" s="1">
        <v>9</v>
      </c>
      <c r="M92" s="1">
        <v>0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32" ht="32" x14ac:dyDescent="0.2">
      <c r="A93" s="6">
        <v>3</v>
      </c>
      <c r="B93" s="8" t="s">
        <v>26</v>
      </c>
      <c r="C93" s="7" t="s">
        <v>27</v>
      </c>
      <c r="D93" s="1">
        <v>1.06</v>
      </c>
      <c r="E93" s="1">
        <v>6.3097949890000002</v>
      </c>
      <c r="F93" s="4" t="s">
        <v>20</v>
      </c>
      <c r="G93" s="1">
        <f t="shared" si="5"/>
        <v>10</v>
      </c>
      <c r="H93" s="1"/>
      <c r="I93" s="1"/>
      <c r="J93" s="1"/>
      <c r="K93" s="1">
        <f t="shared" si="6"/>
        <v>2</v>
      </c>
      <c r="L93" s="1">
        <v>0</v>
      </c>
      <c r="M93" s="1">
        <v>4</v>
      </c>
      <c r="N93" s="1">
        <v>1</v>
      </c>
      <c r="O93" s="1">
        <v>3</v>
      </c>
      <c r="P93" s="1">
        <v>1</v>
      </c>
      <c r="Q93" s="1">
        <v>0</v>
      </c>
      <c r="R93" s="1">
        <v>0</v>
      </c>
      <c r="S93" s="1">
        <v>1</v>
      </c>
      <c r="T93" s="1">
        <v>0</v>
      </c>
      <c r="U93" s="1">
        <v>0</v>
      </c>
    </row>
    <row r="94" spans="1:32" ht="32" x14ac:dyDescent="0.2">
      <c r="A94" s="6">
        <v>4</v>
      </c>
      <c r="B94" s="8" t="s">
        <v>26</v>
      </c>
      <c r="C94" s="7" t="s">
        <v>27</v>
      </c>
      <c r="D94" s="1">
        <v>1.98</v>
      </c>
      <c r="E94" s="1">
        <v>2.3220536759999999</v>
      </c>
      <c r="F94" s="4" t="s">
        <v>20</v>
      </c>
      <c r="G94" s="1">
        <f t="shared" si="5"/>
        <v>31</v>
      </c>
      <c r="H94" s="1"/>
      <c r="I94" s="1"/>
      <c r="J94" s="1"/>
      <c r="K94" s="1">
        <f t="shared" si="6"/>
        <v>28</v>
      </c>
      <c r="L94" s="1">
        <v>9</v>
      </c>
      <c r="M94" s="1">
        <v>2</v>
      </c>
      <c r="N94" s="1">
        <v>1</v>
      </c>
      <c r="O94" s="1">
        <v>2</v>
      </c>
      <c r="P94" s="1">
        <v>3</v>
      </c>
      <c r="Q94" s="1">
        <v>0</v>
      </c>
      <c r="R94" s="1">
        <v>5</v>
      </c>
      <c r="S94" s="1">
        <v>4</v>
      </c>
      <c r="T94" s="1">
        <v>3</v>
      </c>
      <c r="U94" s="1">
        <v>2</v>
      </c>
    </row>
    <row r="95" spans="1:32" ht="32" x14ac:dyDescent="0.2">
      <c r="A95" s="6">
        <v>5</v>
      </c>
      <c r="B95" s="8" t="s">
        <v>26</v>
      </c>
      <c r="C95" s="7" t="s">
        <v>27</v>
      </c>
      <c r="D95" s="1">
        <v>0.9</v>
      </c>
      <c r="E95" s="1">
        <v>11.74418605</v>
      </c>
      <c r="F95" s="4" t="s">
        <v>20</v>
      </c>
      <c r="G95" s="1">
        <f t="shared" si="5"/>
        <v>36</v>
      </c>
      <c r="H95" s="1"/>
      <c r="I95" s="1"/>
      <c r="J95" s="1"/>
      <c r="K95" s="1">
        <f t="shared" si="6"/>
        <v>22</v>
      </c>
      <c r="L95" s="1">
        <v>10</v>
      </c>
      <c r="M95" s="1">
        <v>6</v>
      </c>
      <c r="N95" s="1">
        <v>4</v>
      </c>
      <c r="O95" s="1">
        <v>3</v>
      </c>
      <c r="P95" s="1">
        <v>2</v>
      </c>
      <c r="Q95" s="1">
        <v>0</v>
      </c>
      <c r="R95" s="1">
        <v>0</v>
      </c>
      <c r="S95" s="1">
        <v>4</v>
      </c>
      <c r="T95" s="1">
        <v>4</v>
      </c>
      <c r="U95" s="1">
        <v>3</v>
      </c>
    </row>
    <row r="96" spans="1:32" ht="32" x14ac:dyDescent="0.2">
      <c r="A96" s="6">
        <v>6</v>
      </c>
      <c r="B96" s="8" t="s">
        <v>26</v>
      </c>
      <c r="C96" s="7" t="s">
        <v>27</v>
      </c>
      <c r="D96" s="1">
        <v>1.04</v>
      </c>
      <c r="E96" s="1">
        <v>2.8647540980000001</v>
      </c>
      <c r="F96" s="4" t="s">
        <v>20</v>
      </c>
      <c r="G96" s="1">
        <f t="shared" si="5"/>
        <v>100</v>
      </c>
      <c r="H96" s="1"/>
      <c r="I96" s="1"/>
      <c r="J96" s="1"/>
      <c r="K96" s="1">
        <f t="shared" si="6"/>
        <v>100</v>
      </c>
      <c r="L96" s="1">
        <v>10</v>
      </c>
      <c r="M96" s="1">
        <v>10</v>
      </c>
      <c r="N96" s="1">
        <v>10</v>
      </c>
      <c r="O96" s="1">
        <v>10</v>
      </c>
      <c r="P96" s="1">
        <v>10</v>
      </c>
      <c r="Q96" s="1">
        <v>10</v>
      </c>
      <c r="R96" s="1">
        <v>10</v>
      </c>
      <c r="S96" s="1">
        <v>10</v>
      </c>
      <c r="T96" s="1">
        <v>10</v>
      </c>
      <c r="U96" s="1">
        <v>10</v>
      </c>
    </row>
    <row r="97" spans="1:32" ht="32" x14ac:dyDescent="0.2">
      <c r="A97" s="6">
        <v>7</v>
      </c>
      <c r="B97" s="8" t="s">
        <v>26</v>
      </c>
      <c r="C97" s="7" t="s">
        <v>27</v>
      </c>
      <c r="D97" s="1">
        <v>2.98</v>
      </c>
      <c r="E97" s="1">
        <v>5.0937808489999998</v>
      </c>
      <c r="F97" s="4" t="s">
        <v>23</v>
      </c>
      <c r="G97" s="1">
        <f t="shared" si="5"/>
        <v>38</v>
      </c>
      <c r="H97" s="1"/>
      <c r="I97" s="1"/>
      <c r="J97" s="1"/>
      <c r="K97" s="1">
        <f t="shared" si="6"/>
        <v>24</v>
      </c>
      <c r="L97" s="1">
        <v>10</v>
      </c>
      <c r="M97" s="1">
        <v>2</v>
      </c>
      <c r="N97" s="1">
        <v>3</v>
      </c>
      <c r="O97" s="1">
        <v>5</v>
      </c>
      <c r="P97" s="1">
        <v>6</v>
      </c>
      <c r="Q97" s="1">
        <v>4</v>
      </c>
      <c r="R97" s="1">
        <v>1</v>
      </c>
      <c r="S97" s="1">
        <v>3</v>
      </c>
      <c r="T97" s="1">
        <v>2</v>
      </c>
      <c r="U97" s="1">
        <v>2</v>
      </c>
    </row>
    <row r="98" spans="1:32" ht="32" x14ac:dyDescent="0.2">
      <c r="A98" s="6">
        <v>8</v>
      </c>
      <c r="B98" s="8" t="s">
        <v>26</v>
      </c>
      <c r="C98" s="7" t="s">
        <v>27</v>
      </c>
      <c r="D98" s="1">
        <v>1.04</v>
      </c>
      <c r="E98" s="1">
        <v>3.7210526320000001</v>
      </c>
      <c r="F98" s="4" t="s">
        <v>23</v>
      </c>
      <c r="G98" s="1">
        <f t="shared" si="5"/>
        <v>12</v>
      </c>
      <c r="H98" s="1"/>
      <c r="I98" s="1"/>
      <c r="J98" s="1"/>
      <c r="K98" s="1">
        <f t="shared" si="6"/>
        <v>4</v>
      </c>
      <c r="L98" s="1">
        <v>10</v>
      </c>
      <c r="M98" s="1">
        <v>0</v>
      </c>
      <c r="N98" s="1">
        <v>0</v>
      </c>
      <c r="O98" s="1">
        <v>0</v>
      </c>
      <c r="P98" s="1">
        <v>0</v>
      </c>
      <c r="Q98" s="1">
        <v>2</v>
      </c>
      <c r="R98" s="1">
        <v>0</v>
      </c>
      <c r="S98" s="1">
        <v>0</v>
      </c>
      <c r="T98" s="1">
        <v>0</v>
      </c>
      <c r="U98" s="1">
        <v>0</v>
      </c>
    </row>
    <row r="99" spans="1:32" ht="32" x14ac:dyDescent="0.2">
      <c r="A99" s="6">
        <v>9</v>
      </c>
      <c r="B99" s="8" t="s">
        <v>26</v>
      </c>
      <c r="C99" s="7" t="s">
        <v>27</v>
      </c>
      <c r="D99" s="1">
        <v>1.75</v>
      </c>
      <c r="E99" s="1">
        <v>1.240310078</v>
      </c>
      <c r="F99" s="4" t="s">
        <v>23</v>
      </c>
      <c r="G99" s="1">
        <f t="shared" si="5"/>
        <v>38</v>
      </c>
      <c r="H99" s="1"/>
      <c r="I99" s="1"/>
      <c r="J99" s="1"/>
      <c r="K99" s="1">
        <f t="shared" si="6"/>
        <v>14</v>
      </c>
      <c r="L99" s="1">
        <v>7</v>
      </c>
      <c r="M99" s="1">
        <v>9</v>
      </c>
      <c r="N99" s="1">
        <v>10</v>
      </c>
      <c r="O99" s="1">
        <v>2</v>
      </c>
      <c r="P99" s="1">
        <v>3</v>
      </c>
      <c r="Q99" s="1">
        <v>0</v>
      </c>
      <c r="R99" s="1">
        <v>0</v>
      </c>
      <c r="S99" s="1">
        <v>1</v>
      </c>
      <c r="T99" s="1">
        <v>3</v>
      </c>
      <c r="U99" s="1">
        <v>3</v>
      </c>
    </row>
    <row r="100" spans="1:32" ht="32" x14ac:dyDescent="0.2">
      <c r="A100" s="6">
        <v>10</v>
      </c>
      <c r="B100" s="8" t="s">
        <v>26</v>
      </c>
      <c r="C100" s="7" t="s">
        <v>27</v>
      </c>
      <c r="D100" s="1">
        <v>1.06</v>
      </c>
      <c r="E100" s="1">
        <v>5.9696458679999997</v>
      </c>
      <c r="F100" s="4" t="s">
        <v>23</v>
      </c>
      <c r="G100" s="1">
        <f t="shared" si="5"/>
        <v>100</v>
      </c>
      <c r="H100" s="1"/>
      <c r="I100" s="1"/>
      <c r="J100" s="1"/>
      <c r="K100" s="1">
        <f t="shared" si="6"/>
        <v>100</v>
      </c>
      <c r="L100" s="1">
        <v>10</v>
      </c>
      <c r="M100" s="1">
        <v>10</v>
      </c>
      <c r="N100" s="1">
        <v>10</v>
      </c>
      <c r="O100" s="1">
        <v>10</v>
      </c>
      <c r="P100" s="1">
        <v>10</v>
      </c>
      <c r="Q100" s="1">
        <v>10</v>
      </c>
      <c r="R100" s="1">
        <v>10</v>
      </c>
      <c r="S100" s="1">
        <v>10</v>
      </c>
      <c r="T100" s="1">
        <v>10</v>
      </c>
      <c r="U100" s="1">
        <v>10</v>
      </c>
    </row>
    <row r="101" spans="1:32" ht="32" x14ac:dyDescent="0.2">
      <c r="A101" s="6">
        <v>11</v>
      </c>
      <c r="B101" s="8" t="s">
        <v>26</v>
      </c>
      <c r="C101" s="7" t="s">
        <v>27</v>
      </c>
      <c r="D101" s="1">
        <v>1.04</v>
      </c>
      <c r="E101" s="1">
        <v>4.2776203969999997</v>
      </c>
      <c r="F101" s="4" t="s">
        <v>23</v>
      </c>
      <c r="G101" s="1">
        <f t="shared" si="5"/>
        <v>100</v>
      </c>
      <c r="H101" s="1"/>
      <c r="I101" s="1"/>
      <c r="J101" s="1"/>
      <c r="K101" s="1">
        <f t="shared" si="6"/>
        <v>100</v>
      </c>
      <c r="L101" s="1">
        <v>10</v>
      </c>
      <c r="M101" s="1">
        <v>10</v>
      </c>
      <c r="N101" s="1">
        <v>10</v>
      </c>
      <c r="O101" s="1">
        <v>10</v>
      </c>
      <c r="P101" s="1">
        <v>10</v>
      </c>
      <c r="Q101" s="1">
        <v>10</v>
      </c>
      <c r="R101" s="1">
        <v>10</v>
      </c>
      <c r="S101" s="1">
        <v>10</v>
      </c>
      <c r="T101" s="1">
        <v>10</v>
      </c>
      <c r="U101" s="1">
        <v>10</v>
      </c>
    </row>
    <row r="102" spans="1:32" ht="32" x14ac:dyDescent="0.2">
      <c r="A102" s="6">
        <v>12</v>
      </c>
      <c r="B102" s="8" t="s">
        <v>26</v>
      </c>
      <c r="C102" s="7" t="s">
        <v>27</v>
      </c>
      <c r="D102" s="1">
        <v>1.04</v>
      </c>
      <c r="E102" s="1">
        <v>2.8467153280000002</v>
      </c>
      <c r="F102" s="4" t="s">
        <v>23</v>
      </c>
      <c r="G102" s="1">
        <f t="shared" si="5"/>
        <v>100</v>
      </c>
      <c r="H102" s="1"/>
      <c r="I102" s="1"/>
      <c r="J102" s="1"/>
      <c r="K102" s="1">
        <f t="shared" si="6"/>
        <v>100</v>
      </c>
      <c r="L102" s="1">
        <v>10</v>
      </c>
      <c r="M102" s="1">
        <v>10</v>
      </c>
      <c r="N102" s="1">
        <v>10</v>
      </c>
      <c r="O102" s="1">
        <v>10</v>
      </c>
      <c r="P102" s="1">
        <v>10</v>
      </c>
      <c r="Q102" s="1">
        <v>10</v>
      </c>
      <c r="R102" s="1">
        <v>10</v>
      </c>
      <c r="S102" s="1">
        <v>10</v>
      </c>
      <c r="T102" s="1">
        <v>10</v>
      </c>
      <c r="U102" s="1">
        <v>10</v>
      </c>
    </row>
    <row r="103" spans="1:32" ht="32" x14ac:dyDescent="0.2">
      <c r="A103" s="6">
        <v>13</v>
      </c>
      <c r="B103" s="8" t="s">
        <v>26</v>
      </c>
      <c r="C103" s="7" t="s">
        <v>27</v>
      </c>
      <c r="D103" s="1">
        <v>1.0900000000000001</v>
      </c>
      <c r="E103" s="1">
        <v>1.2246153849999999</v>
      </c>
      <c r="F103" s="4" t="s">
        <v>23</v>
      </c>
      <c r="G103" s="1">
        <f t="shared" si="5"/>
        <v>10</v>
      </c>
      <c r="H103" s="1"/>
      <c r="I103" s="1"/>
      <c r="J103" s="1"/>
      <c r="K103" s="1">
        <f t="shared" si="6"/>
        <v>0</v>
      </c>
      <c r="L103" s="1">
        <v>8</v>
      </c>
      <c r="M103" s="1">
        <v>1</v>
      </c>
      <c r="N103" s="1">
        <v>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32" ht="16" x14ac:dyDescent="0.2">
      <c r="A104" s="6">
        <v>1</v>
      </c>
      <c r="B104" s="8" t="s">
        <v>28</v>
      </c>
      <c r="C104" s="7" t="s">
        <v>29</v>
      </c>
      <c r="D104" s="1">
        <v>1.08</v>
      </c>
      <c r="E104" s="1">
        <v>5</v>
      </c>
      <c r="F104" s="4" t="s">
        <v>20</v>
      </c>
      <c r="G104" s="1">
        <f t="shared" si="5"/>
        <v>95</v>
      </c>
      <c r="H104" s="1"/>
      <c r="I104" s="1"/>
      <c r="J104" s="1"/>
      <c r="K104" s="1">
        <f t="shared" si="6"/>
        <v>92</v>
      </c>
      <c r="L104" s="1">
        <v>10</v>
      </c>
      <c r="M104" s="1">
        <v>10</v>
      </c>
      <c r="N104" s="1">
        <v>10</v>
      </c>
      <c r="O104" s="1">
        <v>10</v>
      </c>
      <c r="P104" s="1">
        <v>9</v>
      </c>
      <c r="Q104" s="1">
        <v>10</v>
      </c>
      <c r="R104" s="1">
        <v>9</v>
      </c>
      <c r="S104" s="1">
        <v>9</v>
      </c>
      <c r="T104" s="1">
        <v>9</v>
      </c>
      <c r="U104" s="1">
        <v>9</v>
      </c>
      <c r="W104">
        <f>AVERAGE(L104:L126)*10</f>
        <v>100</v>
      </c>
      <c r="X104">
        <f t="shared" ref="X104:AF104" si="8">AVERAGE(M104:M126)*10</f>
        <v>100</v>
      </c>
      <c r="Y104">
        <f t="shared" si="8"/>
        <v>99.565217391304358</v>
      </c>
      <c r="Z104">
        <f t="shared" si="8"/>
        <v>98.695652173913047</v>
      </c>
      <c r="AA104">
        <f t="shared" si="8"/>
        <v>98.260869565217376</v>
      </c>
      <c r="AB104">
        <f t="shared" si="8"/>
        <v>98.260869565217376</v>
      </c>
      <c r="AC104">
        <f t="shared" si="8"/>
        <v>97.391304347826093</v>
      </c>
      <c r="AD104">
        <f t="shared" si="8"/>
        <v>97.391304347826093</v>
      </c>
      <c r="AE104">
        <f t="shared" si="8"/>
        <v>97.826086956521735</v>
      </c>
      <c r="AF104">
        <f t="shared" si="8"/>
        <v>96.956521739130437</v>
      </c>
    </row>
    <row r="105" spans="1:32" ht="16" x14ac:dyDescent="0.2">
      <c r="A105" s="6">
        <v>2</v>
      </c>
      <c r="B105" s="8" t="s">
        <v>28</v>
      </c>
      <c r="C105" s="7" t="s">
        <v>29</v>
      </c>
      <c r="D105" s="1">
        <v>0.94</v>
      </c>
      <c r="E105" s="1">
        <v>7.9375</v>
      </c>
      <c r="F105" s="4" t="s">
        <v>20</v>
      </c>
      <c r="G105" s="1">
        <f t="shared" si="5"/>
        <v>100</v>
      </c>
      <c r="H105" s="1"/>
      <c r="I105" s="1"/>
      <c r="J105" s="1"/>
      <c r="K105" s="1">
        <f t="shared" si="6"/>
        <v>100</v>
      </c>
      <c r="L105" s="1">
        <v>10</v>
      </c>
      <c r="M105" s="1">
        <v>10</v>
      </c>
      <c r="N105" s="1">
        <v>10</v>
      </c>
      <c r="O105" s="1">
        <v>10</v>
      </c>
      <c r="P105" s="1">
        <v>10</v>
      </c>
      <c r="Q105" s="1">
        <v>10</v>
      </c>
      <c r="R105" s="1">
        <v>10</v>
      </c>
      <c r="S105" s="1">
        <v>10</v>
      </c>
      <c r="T105" s="1">
        <v>10</v>
      </c>
      <c r="U105" s="1">
        <v>10</v>
      </c>
    </row>
    <row r="106" spans="1:32" ht="16" x14ac:dyDescent="0.2">
      <c r="A106" s="6">
        <v>3</v>
      </c>
      <c r="B106" s="8" t="s">
        <v>28</v>
      </c>
      <c r="C106" s="7" t="s">
        <v>29</v>
      </c>
      <c r="D106" s="1">
        <v>0.99</v>
      </c>
      <c r="E106" s="1">
        <v>11.674418599999999</v>
      </c>
      <c r="F106" s="4" t="s">
        <v>20</v>
      </c>
      <c r="G106" s="1">
        <f t="shared" si="5"/>
        <v>100</v>
      </c>
      <c r="H106" s="1"/>
      <c r="I106" s="1"/>
      <c r="J106" s="1"/>
      <c r="K106" s="1">
        <f t="shared" si="6"/>
        <v>100</v>
      </c>
      <c r="L106" s="1">
        <v>10</v>
      </c>
      <c r="M106" s="1">
        <v>10</v>
      </c>
      <c r="N106" s="1">
        <v>10</v>
      </c>
      <c r="O106" s="1">
        <v>10</v>
      </c>
      <c r="P106" s="1">
        <v>10</v>
      </c>
      <c r="Q106" s="1">
        <v>10</v>
      </c>
      <c r="R106" s="1">
        <v>10</v>
      </c>
      <c r="S106" s="1">
        <v>10</v>
      </c>
      <c r="T106" s="1">
        <v>10</v>
      </c>
      <c r="U106" s="1">
        <v>10</v>
      </c>
    </row>
    <row r="107" spans="1:32" ht="16" x14ac:dyDescent="0.2">
      <c r="A107" s="6">
        <v>4</v>
      </c>
      <c r="B107" s="8" t="s">
        <v>28</v>
      </c>
      <c r="C107" s="7" t="s">
        <v>29</v>
      </c>
      <c r="D107" s="1">
        <v>1.02</v>
      </c>
      <c r="E107" s="1">
        <v>6.7931688799999996</v>
      </c>
      <c r="F107" s="4" t="s">
        <v>20</v>
      </c>
      <c r="G107" s="1">
        <f t="shared" si="5"/>
        <v>90</v>
      </c>
      <c r="H107" s="1"/>
      <c r="I107" s="1"/>
      <c r="J107" s="1"/>
      <c r="K107" s="1">
        <f t="shared" si="6"/>
        <v>84</v>
      </c>
      <c r="L107" s="1">
        <v>10</v>
      </c>
      <c r="M107" s="1">
        <v>10</v>
      </c>
      <c r="N107" s="1">
        <v>10</v>
      </c>
      <c r="O107" s="1">
        <v>9</v>
      </c>
      <c r="P107" s="1">
        <v>9</v>
      </c>
      <c r="Q107" s="1">
        <v>8</v>
      </c>
      <c r="R107" s="1">
        <v>9</v>
      </c>
      <c r="S107" s="1">
        <v>9</v>
      </c>
      <c r="T107" s="1">
        <v>8</v>
      </c>
      <c r="U107" s="1">
        <v>8</v>
      </c>
    </row>
    <row r="108" spans="1:32" ht="16" x14ac:dyDescent="0.2">
      <c r="A108" s="6">
        <v>5</v>
      </c>
      <c r="B108" s="8" t="s">
        <v>28</v>
      </c>
      <c r="C108" s="7" t="s">
        <v>29</v>
      </c>
      <c r="D108" s="1">
        <v>0.99</v>
      </c>
      <c r="E108" s="1">
        <v>5.1340206190000002</v>
      </c>
      <c r="F108" s="4" t="s">
        <v>20</v>
      </c>
      <c r="G108" s="1">
        <f t="shared" si="5"/>
        <v>94</v>
      </c>
      <c r="H108" s="1"/>
      <c r="I108" s="1"/>
      <c r="J108" s="1"/>
      <c r="K108" s="1">
        <f t="shared" si="6"/>
        <v>92</v>
      </c>
      <c r="L108" s="1">
        <v>10</v>
      </c>
      <c r="M108" s="1">
        <v>10</v>
      </c>
      <c r="N108" s="1">
        <v>10</v>
      </c>
      <c r="O108" s="1">
        <v>10</v>
      </c>
      <c r="P108" s="1">
        <v>8</v>
      </c>
      <c r="Q108" s="1">
        <v>9</v>
      </c>
      <c r="R108" s="1">
        <v>9</v>
      </c>
      <c r="S108" s="1">
        <v>9</v>
      </c>
      <c r="T108" s="1">
        <v>10</v>
      </c>
      <c r="U108" s="1">
        <v>9</v>
      </c>
    </row>
    <row r="109" spans="1:32" ht="16" x14ac:dyDescent="0.2">
      <c r="A109" s="6">
        <v>6</v>
      </c>
      <c r="B109" s="8" t="s">
        <v>28</v>
      </c>
      <c r="C109" s="7" t="s">
        <v>29</v>
      </c>
      <c r="D109" s="1">
        <v>0.94</v>
      </c>
      <c r="E109" s="1">
        <v>12.298850570000001</v>
      </c>
      <c r="F109" s="4" t="s">
        <v>20</v>
      </c>
      <c r="G109" s="1">
        <f t="shared" si="5"/>
        <v>100</v>
      </c>
      <c r="H109" s="1"/>
      <c r="I109" s="1"/>
      <c r="J109" s="1"/>
      <c r="K109" s="1">
        <f t="shared" si="6"/>
        <v>100</v>
      </c>
      <c r="L109" s="1">
        <v>10</v>
      </c>
      <c r="M109" s="1">
        <v>10</v>
      </c>
      <c r="N109" s="1">
        <v>10</v>
      </c>
      <c r="O109" s="1">
        <v>10</v>
      </c>
      <c r="P109" s="1">
        <v>10</v>
      </c>
      <c r="Q109" s="1">
        <v>10</v>
      </c>
      <c r="R109" s="1">
        <v>10</v>
      </c>
      <c r="S109" s="1">
        <v>10</v>
      </c>
      <c r="T109" s="1">
        <v>10</v>
      </c>
      <c r="U109" s="1">
        <v>10</v>
      </c>
    </row>
    <row r="110" spans="1:32" ht="16" x14ac:dyDescent="0.2">
      <c r="A110" s="6">
        <v>7</v>
      </c>
      <c r="B110" s="8" t="s">
        <v>28</v>
      </c>
      <c r="C110" s="7" t="s">
        <v>29</v>
      </c>
      <c r="D110" s="1">
        <v>0.99</v>
      </c>
      <c r="E110" s="1">
        <v>7.3611111109999996</v>
      </c>
      <c r="F110" s="4" t="s">
        <v>20</v>
      </c>
      <c r="G110" s="1">
        <f t="shared" si="5"/>
        <v>100</v>
      </c>
      <c r="H110" s="1"/>
      <c r="I110" s="1"/>
      <c r="J110" s="1"/>
      <c r="K110" s="1">
        <f t="shared" si="6"/>
        <v>100</v>
      </c>
      <c r="L110" s="1">
        <v>10</v>
      </c>
      <c r="M110" s="1">
        <v>10</v>
      </c>
      <c r="N110" s="1">
        <v>10</v>
      </c>
      <c r="O110" s="1">
        <v>10</v>
      </c>
      <c r="P110" s="1">
        <v>10</v>
      </c>
      <c r="Q110" s="1">
        <v>10</v>
      </c>
      <c r="R110" s="1">
        <v>10</v>
      </c>
      <c r="S110" s="1">
        <v>10</v>
      </c>
      <c r="T110" s="1">
        <v>10</v>
      </c>
      <c r="U110" s="1">
        <v>10</v>
      </c>
    </row>
    <row r="111" spans="1:32" ht="16" x14ac:dyDescent="0.2">
      <c r="A111" s="6">
        <v>8</v>
      </c>
      <c r="B111" s="8" t="s">
        <v>28</v>
      </c>
      <c r="C111" s="7" t="s">
        <v>29</v>
      </c>
      <c r="D111" s="1">
        <v>0.85</v>
      </c>
      <c r="E111" s="1">
        <v>10</v>
      </c>
      <c r="F111" s="4" t="s">
        <v>20</v>
      </c>
      <c r="G111" s="1">
        <f t="shared" si="5"/>
        <v>100</v>
      </c>
      <c r="H111" s="1"/>
      <c r="I111" s="1"/>
      <c r="J111" s="1"/>
      <c r="K111" s="1">
        <f t="shared" si="6"/>
        <v>100</v>
      </c>
      <c r="L111" s="1">
        <v>10</v>
      </c>
      <c r="M111" s="1">
        <v>10</v>
      </c>
      <c r="N111" s="1">
        <v>10</v>
      </c>
      <c r="O111" s="1">
        <v>10</v>
      </c>
      <c r="P111" s="1">
        <v>10</v>
      </c>
      <c r="Q111" s="1">
        <v>10</v>
      </c>
      <c r="R111" s="1">
        <v>10</v>
      </c>
      <c r="S111" s="1">
        <v>10</v>
      </c>
      <c r="T111" s="1">
        <v>10</v>
      </c>
      <c r="U111" s="1">
        <v>10</v>
      </c>
    </row>
    <row r="112" spans="1:32" ht="16" x14ac:dyDescent="0.2">
      <c r="A112" s="6">
        <v>9</v>
      </c>
      <c r="B112" s="8" t="s">
        <v>28</v>
      </c>
      <c r="C112" s="7" t="s">
        <v>29</v>
      </c>
      <c r="D112" s="1">
        <v>1.02</v>
      </c>
      <c r="E112" s="1">
        <v>6.8</v>
      </c>
      <c r="F112" s="4" t="s">
        <v>20</v>
      </c>
      <c r="G112" s="1">
        <f t="shared" si="5"/>
        <v>100</v>
      </c>
      <c r="H112" s="1"/>
      <c r="I112" s="1"/>
      <c r="J112" s="1"/>
      <c r="K112" s="1">
        <f t="shared" si="6"/>
        <v>100</v>
      </c>
      <c r="L112" s="1">
        <v>10</v>
      </c>
      <c r="M112" s="1">
        <v>10</v>
      </c>
      <c r="N112" s="1">
        <v>10</v>
      </c>
      <c r="O112" s="1">
        <v>10</v>
      </c>
      <c r="P112" s="1">
        <v>10</v>
      </c>
      <c r="Q112" s="1">
        <v>10</v>
      </c>
      <c r="R112" s="1">
        <v>10</v>
      </c>
      <c r="S112" s="1">
        <v>10</v>
      </c>
      <c r="T112" s="1">
        <v>10</v>
      </c>
      <c r="U112" s="1">
        <v>10</v>
      </c>
    </row>
    <row r="113" spans="1:32" ht="16" x14ac:dyDescent="0.2">
      <c r="A113" s="6">
        <v>10</v>
      </c>
      <c r="B113" s="8" t="s">
        <v>28</v>
      </c>
      <c r="C113" s="7" t="s">
        <v>29</v>
      </c>
      <c r="D113" s="1">
        <v>0.99</v>
      </c>
      <c r="E113" s="1">
        <v>7.360594796</v>
      </c>
      <c r="F113" s="4" t="s">
        <v>20</v>
      </c>
      <c r="G113" s="1">
        <f t="shared" si="5"/>
        <v>100</v>
      </c>
      <c r="H113" s="1"/>
      <c r="I113" s="1"/>
      <c r="J113" s="1"/>
      <c r="K113" s="1">
        <f t="shared" si="6"/>
        <v>100</v>
      </c>
      <c r="L113" s="1">
        <v>10</v>
      </c>
      <c r="M113" s="1">
        <v>10</v>
      </c>
      <c r="N113" s="1">
        <v>10</v>
      </c>
      <c r="O113" s="1">
        <v>10</v>
      </c>
      <c r="P113" s="1">
        <v>10</v>
      </c>
      <c r="Q113" s="1">
        <v>10</v>
      </c>
      <c r="R113" s="1">
        <v>10</v>
      </c>
      <c r="S113" s="1">
        <v>10</v>
      </c>
      <c r="T113" s="1">
        <v>10</v>
      </c>
      <c r="U113" s="1">
        <v>10</v>
      </c>
    </row>
    <row r="114" spans="1:32" ht="16" x14ac:dyDescent="0.2">
      <c r="A114" s="6">
        <v>11</v>
      </c>
      <c r="B114" s="8" t="s">
        <v>28</v>
      </c>
      <c r="C114" s="7" t="s">
        <v>29</v>
      </c>
      <c r="D114" s="1">
        <v>0.85</v>
      </c>
      <c r="E114" s="1">
        <v>25.41401274</v>
      </c>
      <c r="F114" s="4" t="s">
        <v>20</v>
      </c>
      <c r="G114" s="1">
        <f t="shared" si="5"/>
        <v>100</v>
      </c>
      <c r="H114" s="1"/>
      <c r="I114" s="1"/>
      <c r="J114" s="1"/>
      <c r="K114" s="1">
        <f t="shared" si="6"/>
        <v>100</v>
      </c>
      <c r="L114" s="1">
        <v>10</v>
      </c>
      <c r="M114" s="1">
        <v>10</v>
      </c>
      <c r="N114" s="1">
        <v>10</v>
      </c>
      <c r="O114" s="1">
        <v>10</v>
      </c>
      <c r="P114" s="1">
        <v>10</v>
      </c>
      <c r="Q114" s="1">
        <v>10</v>
      </c>
      <c r="R114" s="1">
        <v>10</v>
      </c>
      <c r="S114" s="1">
        <v>10</v>
      </c>
      <c r="T114" s="1">
        <v>10</v>
      </c>
      <c r="U114" s="1">
        <v>10</v>
      </c>
    </row>
    <row r="115" spans="1:32" ht="16" x14ac:dyDescent="0.2">
      <c r="A115" s="6">
        <v>12</v>
      </c>
      <c r="B115" s="8" t="s">
        <v>28</v>
      </c>
      <c r="C115" s="7" t="s">
        <v>29</v>
      </c>
      <c r="D115" s="1">
        <v>0.94</v>
      </c>
      <c r="E115" s="1">
        <v>15.47038328</v>
      </c>
      <c r="F115" s="4" t="s">
        <v>20</v>
      </c>
      <c r="G115" s="1">
        <f t="shared" si="5"/>
        <v>100</v>
      </c>
      <c r="H115" s="1"/>
      <c r="I115" s="1"/>
      <c r="J115" s="1"/>
      <c r="K115" s="1">
        <f t="shared" si="6"/>
        <v>100</v>
      </c>
      <c r="L115" s="1">
        <v>10</v>
      </c>
      <c r="M115" s="1">
        <v>10</v>
      </c>
      <c r="N115" s="1">
        <v>10</v>
      </c>
      <c r="O115" s="1">
        <v>10</v>
      </c>
      <c r="P115" s="1">
        <v>10</v>
      </c>
      <c r="Q115" s="1">
        <v>10</v>
      </c>
      <c r="R115" s="1">
        <v>10</v>
      </c>
      <c r="S115" s="1">
        <v>10</v>
      </c>
      <c r="T115" s="1">
        <v>10</v>
      </c>
      <c r="U115" s="1">
        <v>10</v>
      </c>
    </row>
    <row r="116" spans="1:32" ht="16" x14ac:dyDescent="0.2">
      <c r="A116" s="6">
        <v>13</v>
      </c>
      <c r="B116" s="8" t="s">
        <v>28</v>
      </c>
      <c r="C116" s="7" t="s">
        <v>29</v>
      </c>
      <c r="D116" s="1">
        <v>0.94</v>
      </c>
      <c r="E116" s="1">
        <v>11.557632399999999</v>
      </c>
      <c r="F116" s="4" t="s">
        <v>20</v>
      </c>
      <c r="G116" s="1">
        <f t="shared" si="5"/>
        <v>100</v>
      </c>
      <c r="H116" s="1"/>
      <c r="I116" s="1"/>
      <c r="J116" s="1"/>
      <c r="K116" s="1">
        <f t="shared" si="6"/>
        <v>100</v>
      </c>
      <c r="L116" s="1">
        <v>10</v>
      </c>
      <c r="M116" s="1">
        <v>10</v>
      </c>
      <c r="N116" s="1">
        <v>10</v>
      </c>
      <c r="O116" s="1">
        <v>10</v>
      </c>
      <c r="P116" s="1">
        <v>10</v>
      </c>
      <c r="Q116" s="1">
        <v>10</v>
      </c>
      <c r="R116" s="1">
        <v>10</v>
      </c>
      <c r="S116" s="1">
        <v>10</v>
      </c>
      <c r="T116" s="1">
        <v>10</v>
      </c>
      <c r="U116" s="1">
        <v>10</v>
      </c>
    </row>
    <row r="117" spans="1:32" ht="16" x14ac:dyDescent="0.2">
      <c r="A117" s="6">
        <v>14</v>
      </c>
      <c r="B117" s="8" t="s">
        <v>28</v>
      </c>
      <c r="C117" s="7" t="s">
        <v>29</v>
      </c>
      <c r="D117" s="1">
        <v>0.85</v>
      </c>
      <c r="E117" s="1">
        <v>11.3963964</v>
      </c>
      <c r="F117" s="4" t="s">
        <v>20</v>
      </c>
      <c r="G117" s="1">
        <f t="shared" si="5"/>
        <v>100</v>
      </c>
      <c r="H117" s="1"/>
      <c r="I117" s="1"/>
      <c r="J117" s="1"/>
      <c r="K117" s="1">
        <f t="shared" si="6"/>
        <v>100</v>
      </c>
      <c r="L117" s="1">
        <v>10</v>
      </c>
      <c r="M117" s="1">
        <v>10</v>
      </c>
      <c r="N117" s="1">
        <v>10</v>
      </c>
      <c r="O117" s="1">
        <v>10</v>
      </c>
      <c r="P117" s="1">
        <v>10</v>
      </c>
      <c r="Q117" s="1">
        <v>10</v>
      </c>
      <c r="R117" s="1">
        <v>10</v>
      </c>
      <c r="S117" s="1">
        <v>10</v>
      </c>
      <c r="T117" s="1">
        <v>10</v>
      </c>
      <c r="U117" s="1">
        <v>10</v>
      </c>
    </row>
    <row r="118" spans="1:32" ht="16" x14ac:dyDescent="0.2">
      <c r="A118" s="6">
        <v>15</v>
      </c>
      <c r="B118" s="8" t="s">
        <v>28</v>
      </c>
      <c r="C118" s="7" t="s">
        <v>29</v>
      </c>
      <c r="D118" s="1">
        <v>0.94</v>
      </c>
      <c r="E118" s="1">
        <v>10.60773481</v>
      </c>
      <c r="F118" s="4" t="s">
        <v>20</v>
      </c>
      <c r="G118" s="1">
        <f t="shared" si="5"/>
        <v>100</v>
      </c>
      <c r="H118" s="1"/>
      <c r="I118" s="1"/>
      <c r="J118" s="1"/>
      <c r="K118" s="1">
        <f t="shared" si="6"/>
        <v>100</v>
      </c>
      <c r="L118" s="1">
        <v>10</v>
      </c>
      <c r="M118" s="1">
        <v>10</v>
      </c>
      <c r="N118" s="1">
        <v>10</v>
      </c>
      <c r="O118" s="1">
        <v>10</v>
      </c>
      <c r="P118" s="1">
        <v>10</v>
      </c>
      <c r="Q118" s="1">
        <v>10</v>
      </c>
      <c r="R118" s="1">
        <v>10</v>
      </c>
      <c r="S118" s="1">
        <v>10</v>
      </c>
      <c r="T118" s="1">
        <v>10</v>
      </c>
      <c r="U118" s="1">
        <v>10</v>
      </c>
    </row>
    <row r="119" spans="1:32" ht="16" x14ac:dyDescent="0.2">
      <c r="A119" s="6">
        <v>16</v>
      </c>
      <c r="B119" s="8" t="s">
        <v>28</v>
      </c>
      <c r="C119" s="7" t="s">
        <v>29</v>
      </c>
      <c r="D119" s="1">
        <v>1.04</v>
      </c>
      <c r="E119" s="1">
        <v>5.2777777779999999</v>
      </c>
      <c r="F119" s="4" t="s">
        <v>20</v>
      </c>
      <c r="G119" s="1">
        <f t="shared" si="5"/>
        <v>90</v>
      </c>
      <c r="H119" s="1"/>
      <c r="I119" s="1"/>
      <c r="J119" s="1"/>
      <c r="K119" s="1">
        <f t="shared" si="6"/>
        <v>84</v>
      </c>
      <c r="L119" s="1">
        <v>10</v>
      </c>
      <c r="M119" s="1">
        <v>10</v>
      </c>
      <c r="N119" s="1">
        <v>9</v>
      </c>
      <c r="O119" s="1">
        <v>9</v>
      </c>
      <c r="P119" s="1">
        <v>10</v>
      </c>
      <c r="Q119" s="1">
        <v>10</v>
      </c>
      <c r="R119" s="1">
        <v>8</v>
      </c>
      <c r="S119" s="1">
        <v>8</v>
      </c>
      <c r="T119" s="1">
        <v>8</v>
      </c>
      <c r="U119" s="1">
        <v>8</v>
      </c>
    </row>
    <row r="120" spans="1:32" ht="16" x14ac:dyDescent="0.2">
      <c r="A120" s="6">
        <v>17</v>
      </c>
      <c r="B120" s="8" t="s">
        <v>28</v>
      </c>
      <c r="C120" s="7" t="s">
        <v>29</v>
      </c>
      <c r="D120" s="1">
        <v>0.99</v>
      </c>
      <c r="E120" s="1">
        <v>5.9945504090000004</v>
      </c>
      <c r="F120" s="4" t="s">
        <v>20</v>
      </c>
      <c r="G120" s="1">
        <f t="shared" si="5"/>
        <v>95</v>
      </c>
      <c r="H120" s="1"/>
      <c r="I120" s="1"/>
      <c r="J120" s="1"/>
      <c r="K120" s="1">
        <f t="shared" si="6"/>
        <v>92</v>
      </c>
      <c r="L120" s="1">
        <v>10</v>
      </c>
      <c r="M120" s="1">
        <v>10</v>
      </c>
      <c r="N120" s="1">
        <v>10</v>
      </c>
      <c r="O120" s="1">
        <v>9</v>
      </c>
      <c r="P120" s="1">
        <v>10</v>
      </c>
      <c r="Q120" s="1">
        <v>9</v>
      </c>
      <c r="R120" s="1">
        <v>9</v>
      </c>
      <c r="S120" s="1">
        <v>9</v>
      </c>
      <c r="T120" s="1">
        <v>10</v>
      </c>
      <c r="U120" s="1">
        <v>9</v>
      </c>
    </row>
    <row r="121" spans="1:32" ht="16" x14ac:dyDescent="0.2">
      <c r="A121" s="6">
        <v>18</v>
      </c>
      <c r="B121" s="8" t="s">
        <v>28</v>
      </c>
      <c r="C121" s="7" t="s">
        <v>29</v>
      </c>
      <c r="D121" s="1">
        <v>0.94</v>
      </c>
      <c r="E121" s="1">
        <v>8.0450450450000002</v>
      </c>
      <c r="F121" s="4" t="s">
        <v>23</v>
      </c>
      <c r="G121" s="1">
        <f t="shared" si="5"/>
        <v>100</v>
      </c>
      <c r="H121" s="1"/>
      <c r="I121" s="1"/>
      <c r="J121" s="1"/>
      <c r="K121" s="1">
        <f t="shared" si="6"/>
        <v>100</v>
      </c>
      <c r="L121" s="1">
        <v>10</v>
      </c>
      <c r="M121" s="1">
        <v>10</v>
      </c>
      <c r="N121" s="1">
        <v>10</v>
      </c>
      <c r="O121" s="1">
        <v>10</v>
      </c>
      <c r="P121" s="1">
        <v>10</v>
      </c>
      <c r="Q121" s="1">
        <v>10</v>
      </c>
      <c r="R121" s="1">
        <v>10</v>
      </c>
      <c r="S121" s="1">
        <v>10</v>
      </c>
      <c r="T121" s="1">
        <v>10</v>
      </c>
      <c r="U121" s="1">
        <v>10</v>
      </c>
    </row>
    <row r="122" spans="1:32" ht="16" x14ac:dyDescent="0.2">
      <c r="A122" s="6">
        <v>19</v>
      </c>
      <c r="B122" s="8" t="s">
        <v>28</v>
      </c>
      <c r="C122" s="7" t="s">
        <v>29</v>
      </c>
      <c r="D122" s="1">
        <v>0.89</v>
      </c>
      <c r="E122" s="1">
        <v>8.4347826090000009</v>
      </c>
      <c r="F122" s="4" t="s">
        <v>23</v>
      </c>
      <c r="G122" s="1">
        <f t="shared" si="5"/>
        <v>100</v>
      </c>
      <c r="H122" s="1"/>
      <c r="I122" s="1"/>
      <c r="J122" s="1"/>
      <c r="K122" s="1">
        <f t="shared" si="6"/>
        <v>100</v>
      </c>
      <c r="L122" s="1">
        <v>10</v>
      </c>
      <c r="M122" s="1">
        <v>10</v>
      </c>
      <c r="N122" s="1">
        <v>10</v>
      </c>
      <c r="O122" s="1">
        <v>10</v>
      </c>
      <c r="P122" s="1">
        <v>10</v>
      </c>
      <c r="Q122" s="1">
        <v>10</v>
      </c>
      <c r="R122" s="1">
        <v>10</v>
      </c>
      <c r="S122" s="1">
        <v>10</v>
      </c>
      <c r="T122" s="1">
        <v>10</v>
      </c>
      <c r="U122" s="1">
        <v>10</v>
      </c>
    </row>
    <row r="123" spans="1:32" ht="16" x14ac:dyDescent="0.2">
      <c r="A123" s="6">
        <v>20</v>
      </c>
      <c r="B123" s="8" t="s">
        <v>28</v>
      </c>
      <c r="C123" s="7" t="s">
        <v>29</v>
      </c>
      <c r="D123" s="1">
        <v>1.08</v>
      </c>
      <c r="E123" s="1">
        <v>12.58992806</v>
      </c>
      <c r="F123" s="4" t="s">
        <v>23</v>
      </c>
      <c r="G123" s="1">
        <f t="shared" si="5"/>
        <v>100</v>
      </c>
      <c r="H123" s="1"/>
      <c r="I123" s="1"/>
      <c r="J123" s="1"/>
      <c r="K123" s="1">
        <f t="shared" si="6"/>
        <v>100</v>
      </c>
      <c r="L123" s="1">
        <v>10</v>
      </c>
      <c r="M123" s="1">
        <v>10</v>
      </c>
      <c r="N123" s="1">
        <v>10</v>
      </c>
      <c r="O123" s="1">
        <v>10</v>
      </c>
      <c r="P123" s="1">
        <v>10</v>
      </c>
      <c r="Q123" s="1">
        <v>10</v>
      </c>
      <c r="R123" s="1">
        <v>10</v>
      </c>
      <c r="S123" s="1">
        <v>10</v>
      </c>
      <c r="T123" s="1">
        <v>10</v>
      </c>
      <c r="U123" s="1">
        <v>10</v>
      </c>
    </row>
    <row r="124" spans="1:32" ht="16" x14ac:dyDescent="0.2">
      <c r="A124" s="6">
        <v>21</v>
      </c>
      <c r="B124" s="8" t="s">
        <v>28</v>
      </c>
      <c r="C124" s="7" t="s">
        <v>29</v>
      </c>
      <c r="D124" s="1">
        <v>1.04</v>
      </c>
      <c r="E124" s="1">
        <v>12.76785714</v>
      </c>
      <c r="F124" s="4" t="s">
        <v>23</v>
      </c>
      <c r="G124" s="1">
        <f t="shared" si="5"/>
        <v>100</v>
      </c>
      <c r="H124" s="1"/>
      <c r="I124" s="1"/>
      <c r="J124" s="1"/>
      <c r="K124" s="1">
        <f t="shared" si="6"/>
        <v>100</v>
      </c>
      <c r="L124" s="1">
        <v>10</v>
      </c>
      <c r="M124" s="1">
        <v>10</v>
      </c>
      <c r="N124" s="1">
        <v>10</v>
      </c>
      <c r="O124" s="1">
        <v>10</v>
      </c>
      <c r="P124" s="1">
        <v>10</v>
      </c>
      <c r="Q124" s="1">
        <v>10</v>
      </c>
      <c r="R124" s="1">
        <v>10</v>
      </c>
      <c r="S124" s="1">
        <v>10</v>
      </c>
      <c r="T124" s="1">
        <v>10</v>
      </c>
      <c r="U124" s="1">
        <v>10</v>
      </c>
    </row>
    <row r="125" spans="1:32" ht="16" x14ac:dyDescent="0.2">
      <c r="A125" s="6">
        <v>22</v>
      </c>
      <c r="B125" s="8" t="s">
        <v>28</v>
      </c>
      <c r="C125" s="7" t="s">
        <v>29</v>
      </c>
      <c r="D125" s="1">
        <v>0.94</v>
      </c>
      <c r="E125" s="1">
        <v>20.276008489999999</v>
      </c>
      <c r="F125" s="4" t="s">
        <v>23</v>
      </c>
      <c r="G125" s="1">
        <f t="shared" si="5"/>
        <v>100</v>
      </c>
      <c r="H125" s="1"/>
      <c r="I125" s="1"/>
      <c r="J125" s="1"/>
      <c r="K125" s="1">
        <f t="shared" si="6"/>
        <v>100</v>
      </c>
      <c r="L125" s="1">
        <v>10</v>
      </c>
      <c r="M125" s="1">
        <v>10</v>
      </c>
      <c r="N125" s="1">
        <v>10</v>
      </c>
      <c r="O125" s="1">
        <v>10</v>
      </c>
      <c r="P125" s="1">
        <v>10</v>
      </c>
      <c r="Q125" s="1">
        <v>10</v>
      </c>
      <c r="R125" s="1">
        <v>10</v>
      </c>
      <c r="S125" s="1">
        <v>10</v>
      </c>
      <c r="T125" s="1">
        <v>10</v>
      </c>
      <c r="U125" s="1">
        <v>10</v>
      </c>
    </row>
    <row r="126" spans="1:32" ht="16" x14ac:dyDescent="0.2">
      <c r="A126" s="6">
        <v>23</v>
      </c>
      <c r="B126" s="8" t="s">
        <v>28</v>
      </c>
      <c r="C126" s="7" t="s">
        <v>29</v>
      </c>
      <c r="D126" s="1">
        <v>0.99</v>
      </c>
      <c r="E126" s="1">
        <v>15.48387097</v>
      </c>
      <c r="F126" s="4" t="s">
        <v>23</v>
      </c>
      <c r="G126" s="1">
        <f t="shared" si="5"/>
        <v>100</v>
      </c>
      <c r="H126" s="1"/>
      <c r="I126" s="1"/>
      <c r="J126" s="1"/>
      <c r="K126" s="1">
        <f t="shared" si="6"/>
        <v>100</v>
      </c>
      <c r="L126" s="1">
        <v>10</v>
      </c>
      <c r="M126" s="1">
        <v>10</v>
      </c>
      <c r="N126" s="1">
        <v>10</v>
      </c>
      <c r="O126" s="1">
        <v>10</v>
      </c>
      <c r="P126" s="1">
        <v>10</v>
      </c>
      <c r="Q126" s="1">
        <v>10</v>
      </c>
      <c r="R126" s="1">
        <v>10</v>
      </c>
      <c r="S126" s="1">
        <v>10</v>
      </c>
      <c r="T126" s="1">
        <v>10</v>
      </c>
      <c r="U126" s="1">
        <v>10</v>
      </c>
    </row>
    <row r="127" spans="1:32" ht="16" x14ac:dyDescent="0.2">
      <c r="A127" s="6">
        <v>1</v>
      </c>
      <c r="B127" s="8" t="s">
        <v>30</v>
      </c>
      <c r="C127" s="7" t="s">
        <v>31</v>
      </c>
      <c r="D127" s="1">
        <v>2.83</v>
      </c>
      <c r="E127" s="1">
        <v>10.75675676</v>
      </c>
      <c r="F127" s="4" t="s">
        <v>23</v>
      </c>
      <c r="G127" s="1">
        <f t="shared" si="5"/>
        <v>24</v>
      </c>
      <c r="H127" s="1"/>
      <c r="I127" s="1"/>
      <c r="J127" s="1"/>
      <c r="K127" s="1">
        <f t="shared" si="6"/>
        <v>20</v>
      </c>
      <c r="L127" s="1">
        <v>1</v>
      </c>
      <c r="M127" s="1">
        <v>0</v>
      </c>
      <c r="N127" s="1">
        <v>3</v>
      </c>
      <c r="O127" s="1">
        <v>4</v>
      </c>
      <c r="P127" s="1">
        <v>6</v>
      </c>
      <c r="Q127" s="1">
        <v>5</v>
      </c>
      <c r="R127" s="1">
        <v>4</v>
      </c>
      <c r="S127" s="1">
        <v>0</v>
      </c>
      <c r="T127" s="1">
        <v>0</v>
      </c>
      <c r="U127" s="1">
        <v>1</v>
      </c>
      <c r="W127">
        <f>AVERAGE(L127:L133)*10</f>
        <v>84.285714285714292</v>
      </c>
      <c r="X127">
        <f t="shared" ref="X127:AF127" si="9">AVERAGE(M127:M133)*10</f>
        <v>60</v>
      </c>
      <c r="Y127">
        <f t="shared" si="9"/>
        <v>50</v>
      </c>
      <c r="Z127">
        <f t="shared" si="9"/>
        <v>50</v>
      </c>
      <c r="AA127">
        <f t="shared" si="9"/>
        <v>47.142857142857146</v>
      </c>
      <c r="AB127">
        <f t="shared" si="9"/>
        <v>38.571428571428569</v>
      </c>
      <c r="AC127">
        <f t="shared" si="9"/>
        <v>50</v>
      </c>
      <c r="AD127">
        <f t="shared" si="9"/>
        <v>40</v>
      </c>
      <c r="AE127">
        <f t="shared" si="9"/>
        <v>32.857142857142854</v>
      </c>
      <c r="AF127">
        <f t="shared" si="9"/>
        <v>40</v>
      </c>
    </row>
    <row r="128" spans="1:32" ht="16" x14ac:dyDescent="0.2">
      <c r="A128" s="6">
        <v>2</v>
      </c>
      <c r="B128" s="8" t="s">
        <v>30</v>
      </c>
      <c r="C128" s="7" t="s">
        <v>31</v>
      </c>
      <c r="D128" s="1">
        <v>2.2000000000000002</v>
      </c>
      <c r="E128" s="1">
        <v>8.1410256410000006</v>
      </c>
      <c r="F128" s="4" t="s">
        <v>23</v>
      </c>
      <c r="G128" s="1">
        <f t="shared" si="5"/>
        <v>28</v>
      </c>
      <c r="H128" s="1"/>
      <c r="I128" s="1"/>
      <c r="J128" s="1"/>
      <c r="K128" s="1">
        <f t="shared" si="6"/>
        <v>28</v>
      </c>
      <c r="L128" s="1">
        <v>8</v>
      </c>
      <c r="M128" s="1">
        <v>0</v>
      </c>
      <c r="N128" s="1">
        <v>2</v>
      </c>
      <c r="O128" s="1">
        <v>1</v>
      </c>
      <c r="P128" s="1">
        <v>3</v>
      </c>
      <c r="Q128" s="1">
        <v>0</v>
      </c>
      <c r="R128" s="1">
        <v>2</v>
      </c>
      <c r="S128" s="1">
        <v>3</v>
      </c>
      <c r="T128" s="1">
        <v>4</v>
      </c>
      <c r="U128" s="1">
        <v>5</v>
      </c>
    </row>
    <row r="129" spans="1:32" ht="16" x14ac:dyDescent="0.2">
      <c r="A129" s="6">
        <v>3</v>
      </c>
      <c r="B129" s="8" t="s">
        <v>30</v>
      </c>
      <c r="C129" s="7" t="s">
        <v>31</v>
      </c>
      <c r="D129" s="1">
        <v>1.23</v>
      </c>
      <c r="E129" s="1">
        <v>6.278846154</v>
      </c>
      <c r="F129" s="4" t="s">
        <v>23</v>
      </c>
      <c r="G129" s="1">
        <f t="shared" si="5"/>
        <v>39</v>
      </c>
      <c r="H129" s="1"/>
      <c r="I129" s="1"/>
      <c r="J129" s="1"/>
      <c r="K129" s="1">
        <f t="shared" si="6"/>
        <v>26</v>
      </c>
      <c r="L129" s="1">
        <v>10</v>
      </c>
      <c r="M129" s="1">
        <v>2</v>
      </c>
      <c r="N129" s="1">
        <v>7</v>
      </c>
      <c r="O129" s="1">
        <v>3</v>
      </c>
      <c r="P129" s="1">
        <v>4</v>
      </c>
      <c r="Q129" s="1">
        <v>3</v>
      </c>
      <c r="R129" s="1">
        <v>3</v>
      </c>
      <c r="S129" s="1">
        <v>4</v>
      </c>
      <c r="T129" s="1">
        <v>2</v>
      </c>
      <c r="U129" s="1">
        <v>1</v>
      </c>
    </row>
    <row r="130" spans="1:32" ht="16" x14ac:dyDescent="0.2">
      <c r="A130" s="6">
        <v>4</v>
      </c>
      <c r="B130" s="8" t="s">
        <v>30</v>
      </c>
      <c r="C130" s="7" t="s">
        <v>31</v>
      </c>
      <c r="D130" s="1">
        <v>1.37</v>
      </c>
      <c r="E130" s="1">
        <v>4.8854961829999999</v>
      </c>
      <c r="F130" s="4" t="s">
        <v>23</v>
      </c>
      <c r="G130" s="1">
        <f t="shared" si="5"/>
        <v>45</v>
      </c>
      <c r="H130" s="1"/>
      <c r="I130" s="1"/>
      <c r="J130" s="1"/>
      <c r="K130" s="1">
        <f t="shared" si="6"/>
        <v>28</v>
      </c>
      <c r="L130" s="1">
        <v>10</v>
      </c>
      <c r="M130" s="1">
        <v>10</v>
      </c>
      <c r="N130" s="1">
        <v>1</v>
      </c>
      <c r="O130" s="1">
        <v>6</v>
      </c>
      <c r="P130" s="1">
        <v>4</v>
      </c>
      <c r="Q130" s="1">
        <v>4</v>
      </c>
      <c r="R130" s="1">
        <v>6</v>
      </c>
      <c r="S130" s="1">
        <v>3</v>
      </c>
      <c r="T130" s="1">
        <v>0</v>
      </c>
      <c r="U130" s="1">
        <v>1</v>
      </c>
    </row>
    <row r="131" spans="1:32" ht="16" x14ac:dyDescent="0.2">
      <c r="A131" s="6">
        <v>5</v>
      </c>
      <c r="B131" s="8" t="s">
        <v>30</v>
      </c>
      <c r="C131" s="7" t="s">
        <v>31</v>
      </c>
      <c r="D131" s="1">
        <v>2.4300000000000002</v>
      </c>
      <c r="E131" s="1">
        <v>4.3275862070000004</v>
      </c>
      <c r="F131" s="4" t="s">
        <v>23</v>
      </c>
      <c r="G131" s="1">
        <f t="shared" si="5"/>
        <v>43</v>
      </c>
      <c r="H131" s="1"/>
      <c r="I131" s="1"/>
      <c r="J131" s="1"/>
      <c r="K131" s="1">
        <f t="shared" si="6"/>
        <v>36</v>
      </c>
      <c r="L131" s="1">
        <v>10</v>
      </c>
      <c r="M131" s="1">
        <v>10</v>
      </c>
      <c r="N131" s="1">
        <v>2</v>
      </c>
      <c r="O131" s="1">
        <v>3</v>
      </c>
      <c r="P131" s="1">
        <v>0</v>
      </c>
      <c r="Q131" s="1">
        <v>2</v>
      </c>
      <c r="R131" s="1">
        <v>6</v>
      </c>
      <c r="S131" s="1">
        <v>4</v>
      </c>
      <c r="T131" s="1">
        <v>2</v>
      </c>
      <c r="U131" s="1">
        <v>4</v>
      </c>
    </row>
    <row r="132" spans="1:32" ht="16" x14ac:dyDescent="0.2">
      <c r="A132" s="6">
        <v>6</v>
      </c>
      <c r="B132" s="8" t="s">
        <v>30</v>
      </c>
      <c r="C132" s="7" t="s">
        <v>31</v>
      </c>
      <c r="D132" s="1">
        <v>1.34</v>
      </c>
      <c r="E132" s="1">
        <v>7.7586206899999999</v>
      </c>
      <c r="F132" s="4" t="s">
        <v>23</v>
      </c>
      <c r="G132" s="1">
        <f t="shared" si="5"/>
        <v>83</v>
      </c>
      <c r="H132" s="1"/>
      <c r="I132" s="1"/>
      <c r="J132" s="1"/>
      <c r="K132" s="1">
        <f t="shared" si="6"/>
        <v>74</v>
      </c>
      <c r="L132" s="1">
        <v>10</v>
      </c>
      <c r="M132" s="1">
        <v>10</v>
      </c>
      <c r="N132" s="1">
        <v>10</v>
      </c>
      <c r="O132" s="1">
        <v>8</v>
      </c>
      <c r="P132" s="1">
        <v>8</v>
      </c>
      <c r="Q132" s="1">
        <v>7</v>
      </c>
      <c r="R132" s="1">
        <v>7</v>
      </c>
      <c r="S132" s="1">
        <v>7</v>
      </c>
      <c r="T132" s="1">
        <v>8</v>
      </c>
      <c r="U132" s="1">
        <v>8</v>
      </c>
    </row>
    <row r="133" spans="1:32" ht="16" x14ac:dyDescent="0.2">
      <c r="A133" s="6">
        <v>7</v>
      </c>
      <c r="B133" s="8" t="s">
        <v>30</v>
      </c>
      <c r="C133" s="7" t="s">
        <v>31</v>
      </c>
      <c r="D133" s="1">
        <v>1.26</v>
      </c>
      <c r="E133" s="1">
        <v>11.42857143</v>
      </c>
      <c r="F133" s="4" t="s">
        <v>23</v>
      </c>
      <c r="G133" s="1">
        <f t="shared" ref="G133:G193" si="10">AVERAGE(L133:U133)*10</f>
        <v>83</v>
      </c>
      <c r="H133" s="1"/>
      <c r="I133" s="1"/>
      <c r="J133" s="1"/>
      <c r="K133" s="1">
        <f t="shared" ref="K133:K193" si="11">AVERAGE(Q133:U133)*10</f>
        <v>70</v>
      </c>
      <c r="L133" s="1">
        <v>10</v>
      </c>
      <c r="M133" s="1">
        <v>10</v>
      </c>
      <c r="N133" s="1">
        <v>10</v>
      </c>
      <c r="O133" s="1">
        <v>10</v>
      </c>
      <c r="P133" s="1">
        <v>8</v>
      </c>
      <c r="Q133" s="1">
        <v>6</v>
      </c>
      <c r="R133" s="1">
        <v>7</v>
      </c>
      <c r="S133" s="1">
        <v>7</v>
      </c>
      <c r="T133" s="1">
        <v>7</v>
      </c>
      <c r="U133" s="1">
        <v>8</v>
      </c>
    </row>
    <row r="134" spans="1:32" ht="16" x14ac:dyDescent="0.2">
      <c r="A134" s="6">
        <v>1</v>
      </c>
      <c r="B134" s="8" t="s">
        <v>32</v>
      </c>
      <c r="C134" s="7" t="s">
        <v>33</v>
      </c>
      <c r="D134" s="1">
        <v>1.06</v>
      </c>
      <c r="E134" s="1">
        <v>7.7659574469999999</v>
      </c>
      <c r="F134" s="4" t="s">
        <v>20</v>
      </c>
      <c r="G134" s="1">
        <f t="shared" si="10"/>
        <v>100</v>
      </c>
      <c r="H134" s="1"/>
      <c r="I134" s="1"/>
      <c r="J134" s="1"/>
      <c r="K134" s="1">
        <f t="shared" si="11"/>
        <v>100</v>
      </c>
      <c r="L134" s="1">
        <v>10</v>
      </c>
      <c r="M134" s="1">
        <v>10</v>
      </c>
      <c r="N134" s="1">
        <v>10</v>
      </c>
      <c r="O134" s="1">
        <v>10</v>
      </c>
      <c r="P134" s="1">
        <v>10</v>
      </c>
      <c r="Q134" s="1">
        <v>10</v>
      </c>
      <c r="R134" s="1">
        <v>10</v>
      </c>
      <c r="S134" s="1">
        <v>10</v>
      </c>
      <c r="T134" s="1">
        <v>10</v>
      </c>
      <c r="U134" s="1">
        <v>10</v>
      </c>
      <c r="W134">
        <f>AVERAGE(L134:L153)*10</f>
        <v>90</v>
      </c>
      <c r="X134">
        <f t="shared" ref="X134:AF134" si="12">AVERAGE(M134:M153)*10</f>
        <v>66.5</v>
      </c>
      <c r="Y134">
        <f t="shared" si="12"/>
        <v>58</v>
      </c>
      <c r="Z134">
        <f t="shared" si="12"/>
        <v>55.5</v>
      </c>
      <c r="AA134">
        <f t="shared" si="12"/>
        <v>52.5</v>
      </c>
      <c r="AB134">
        <f t="shared" si="12"/>
        <v>46</v>
      </c>
      <c r="AC134">
        <f t="shared" si="12"/>
        <v>44</v>
      </c>
      <c r="AD134">
        <f t="shared" si="12"/>
        <v>40.5</v>
      </c>
      <c r="AE134">
        <f t="shared" si="12"/>
        <v>44.5</v>
      </c>
      <c r="AF134">
        <f t="shared" si="12"/>
        <v>43</v>
      </c>
    </row>
    <row r="135" spans="1:32" ht="16" x14ac:dyDescent="0.2">
      <c r="A135" s="6">
        <v>2</v>
      </c>
      <c r="B135" s="8" t="s">
        <v>32</v>
      </c>
      <c r="C135" s="7" t="s">
        <v>33</v>
      </c>
      <c r="D135" s="1">
        <v>1.0900000000000001</v>
      </c>
      <c r="E135" s="1">
        <v>12.579365080000001</v>
      </c>
      <c r="F135" s="4" t="s">
        <v>20</v>
      </c>
      <c r="G135" s="1">
        <f t="shared" si="10"/>
        <v>88</v>
      </c>
      <c r="H135" s="1"/>
      <c r="I135" s="1"/>
      <c r="J135" s="1"/>
      <c r="K135" s="1">
        <f t="shared" si="11"/>
        <v>82</v>
      </c>
      <c r="L135" s="1">
        <v>10</v>
      </c>
      <c r="M135" s="1">
        <v>10</v>
      </c>
      <c r="N135" s="1">
        <v>8</v>
      </c>
      <c r="O135" s="1">
        <v>10</v>
      </c>
      <c r="P135" s="1">
        <v>9</v>
      </c>
      <c r="Q135" s="1">
        <v>8</v>
      </c>
      <c r="R135" s="1">
        <v>8</v>
      </c>
      <c r="S135" s="1">
        <v>8</v>
      </c>
      <c r="T135" s="1">
        <v>9</v>
      </c>
      <c r="U135" s="1">
        <v>8</v>
      </c>
    </row>
    <row r="136" spans="1:32" ht="16" x14ac:dyDescent="0.2">
      <c r="A136" s="6">
        <v>3</v>
      </c>
      <c r="B136" s="8" t="s">
        <v>32</v>
      </c>
      <c r="C136" s="7" t="s">
        <v>33</v>
      </c>
      <c r="D136" s="1">
        <v>1.1299999999999999</v>
      </c>
      <c r="E136" s="1">
        <v>3.1557377049999999</v>
      </c>
      <c r="F136" s="4" t="s">
        <v>20</v>
      </c>
      <c r="G136" s="1">
        <f t="shared" si="10"/>
        <v>23</v>
      </c>
      <c r="H136" s="1"/>
      <c r="I136" s="1"/>
      <c r="J136" s="1"/>
      <c r="K136" s="1">
        <f t="shared" si="11"/>
        <v>6</v>
      </c>
      <c r="L136" s="1">
        <v>10</v>
      </c>
      <c r="M136" s="1">
        <v>6</v>
      </c>
      <c r="N136" s="1">
        <v>3</v>
      </c>
      <c r="O136" s="1">
        <v>1</v>
      </c>
      <c r="P136" s="1">
        <v>0</v>
      </c>
      <c r="Q136" s="1">
        <v>0</v>
      </c>
      <c r="R136" s="1">
        <v>0</v>
      </c>
      <c r="S136" s="1">
        <v>1</v>
      </c>
      <c r="T136" s="1">
        <v>1</v>
      </c>
      <c r="U136" s="1">
        <v>1</v>
      </c>
    </row>
    <row r="137" spans="1:32" ht="16" x14ac:dyDescent="0.2">
      <c r="A137" s="6">
        <v>4</v>
      </c>
      <c r="B137" s="8" t="s">
        <v>32</v>
      </c>
      <c r="C137" s="7" t="s">
        <v>33</v>
      </c>
      <c r="D137" s="1">
        <v>1.1599999999999999</v>
      </c>
      <c r="E137" s="1">
        <v>7.1337579619999998</v>
      </c>
      <c r="F137" s="4" t="s">
        <v>20</v>
      </c>
      <c r="G137" s="1">
        <f t="shared" si="10"/>
        <v>67</v>
      </c>
      <c r="H137" s="1"/>
      <c r="I137" s="1"/>
      <c r="J137" s="1"/>
      <c r="K137" s="1">
        <f t="shared" si="11"/>
        <v>42</v>
      </c>
      <c r="L137" s="1">
        <v>10</v>
      </c>
      <c r="M137" s="1">
        <v>9</v>
      </c>
      <c r="N137" s="1">
        <v>9</v>
      </c>
      <c r="O137" s="1">
        <v>8</v>
      </c>
      <c r="P137" s="1">
        <v>10</v>
      </c>
      <c r="Q137" s="1">
        <v>6</v>
      </c>
      <c r="R137" s="1">
        <v>6</v>
      </c>
      <c r="S137" s="1">
        <v>3</v>
      </c>
      <c r="T137" s="1">
        <v>4</v>
      </c>
      <c r="U137" s="1">
        <v>2</v>
      </c>
    </row>
    <row r="138" spans="1:32" ht="16" x14ac:dyDescent="0.2">
      <c r="A138" s="6">
        <v>5</v>
      </c>
      <c r="B138" s="8" t="s">
        <v>32</v>
      </c>
      <c r="C138" s="7" t="s">
        <v>33</v>
      </c>
      <c r="D138" s="1">
        <v>1.1599999999999999</v>
      </c>
      <c r="E138" s="1">
        <v>13.342618379999999</v>
      </c>
      <c r="F138" s="4" t="s">
        <v>23</v>
      </c>
      <c r="G138" s="1">
        <f t="shared" si="10"/>
        <v>88</v>
      </c>
      <c r="H138" s="1"/>
      <c r="I138" s="1"/>
      <c r="J138" s="1"/>
      <c r="K138" s="1">
        <f t="shared" si="11"/>
        <v>82</v>
      </c>
      <c r="L138" s="1">
        <v>10</v>
      </c>
      <c r="M138" s="1">
        <v>10</v>
      </c>
      <c r="N138" s="1">
        <v>10</v>
      </c>
      <c r="O138" s="1">
        <v>7</v>
      </c>
      <c r="P138" s="1">
        <v>10</v>
      </c>
      <c r="Q138" s="1">
        <v>8</v>
      </c>
      <c r="R138" s="1">
        <v>8</v>
      </c>
      <c r="S138" s="1">
        <v>7</v>
      </c>
      <c r="T138" s="1">
        <v>9</v>
      </c>
      <c r="U138" s="1">
        <v>9</v>
      </c>
    </row>
    <row r="139" spans="1:32" ht="16" x14ac:dyDescent="0.2">
      <c r="A139" s="6">
        <v>6</v>
      </c>
      <c r="B139" s="8" t="s">
        <v>32</v>
      </c>
      <c r="C139" s="7" t="s">
        <v>33</v>
      </c>
      <c r="D139" s="1">
        <v>1.17</v>
      </c>
      <c r="E139" s="1">
        <v>11.42857143</v>
      </c>
      <c r="F139" s="4" t="s">
        <v>23</v>
      </c>
      <c r="G139" s="1">
        <f t="shared" si="10"/>
        <v>56</v>
      </c>
      <c r="H139" s="1"/>
      <c r="I139" s="1"/>
      <c r="J139" s="1"/>
      <c r="K139" s="1">
        <f t="shared" si="11"/>
        <v>34</v>
      </c>
      <c r="L139" s="1">
        <v>9</v>
      </c>
      <c r="M139" s="1">
        <v>10</v>
      </c>
      <c r="N139" s="1">
        <v>7</v>
      </c>
      <c r="O139" s="1">
        <v>6</v>
      </c>
      <c r="P139" s="1">
        <v>7</v>
      </c>
      <c r="Q139" s="1">
        <v>5</v>
      </c>
      <c r="R139" s="1">
        <v>3</v>
      </c>
      <c r="S139" s="1">
        <v>3</v>
      </c>
      <c r="T139" s="1">
        <v>4</v>
      </c>
      <c r="U139" s="1">
        <v>2</v>
      </c>
    </row>
    <row r="140" spans="1:32" ht="16" x14ac:dyDescent="0.2">
      <c r="A140" s="6">
        <v>7</v>
      </c>
      <c r="B140" s="8" t="s">
        <v>32</v>
      </c>
      <c r="C140" s="7" t="s">
        <v>33</v>
      </c>
      <c r="D140" s="1">
        <v>1.18</v>
      </c>
      <c r="E140" s="1">
        <v>4.6571136129999999</v>
      </c>
      <c r="F140" s="4" t="s">
        <v>23</v>
      </c>
      <c r="G140" s="1">
        <f t="shared" si="10"/>
        <v>100</v>
      </c>
      <c r="H140" s="1"/>
      <c r="I140" s="1"/>
      <c r="J140" s="1"/>
      <c r="K140" s="1">
        <f t="shared" si="11"/>
        <v>100</v>
      </c>
      <c r="L140" s="1">
        <v>10</v>
      </c>
      <c r="M140" s="1">
        <v>10</v>
      </c>
      <c r="N140" s="1">
        <v>10</v>
      </c>
      <c r="O140" s="1">
        <v>10</v>
      </c>
      <c r="P140" s="1">
        <v>10</v>
      </c>
      <c r="Q140" s="1">
        <v>10</v>
      </c>
      <c r="R140" s="1">
        <v>10</v>
      </c>
      <c r="S140" s="1">
        <v>10</v>
      </c>
      <c r="T140" s="1">
        <v>10</v>
      </c>
      <c r="U140" s="1">
        <v>10</v>
      </c>
    </row>
    <row r="141" spans="1:32" ht="16" x14ac:dyDescent="0.2">
      <c r="A141" s="6">
        <v>8</v>
      </c>
      <c r="B141" s="8" t="s">
        <v>32</v>
      </c>
      <c r="C141" s="7" t="s">
        <v>33</v>
      </c>
      <c r="D141" s="1">
        <v>1.18</v>
      </c>
      <c r="E141" s="1">
        <v>5.592417062</v>
      </c>
      <c r="F141" s="4" t="s">
        <v>23</v>
      </c>
      <c r="G141" s="1">
        <f t="shared" si="10"/>
        <v>42</v>
      </c>
      <c r="H141" s="1"/>
      <c r="I141" s="1"/>
      <c r="J141" s="1"/>
      <c r="K141" s="1">
        <f t="shared" si="11"/>
        <v>30</v>
      </c>
      <c r="L141" s="1">
        <v>9</v>
      </c>
      <c r="M141" s="1">
        <v>8</v>
      </c>
      <c r="N141" s="1">
        <v>4</v>
      </c>
      <c r="O141" s="1">
        <v>3</v>
      </c>
      <c r="P141" s="1">
        <v>3</v>
      </c>
      <c r="Q141" s="1">
        <v>3</v>
      </c>
      <c r="R141" s="1">
        <v>2</v>
      </c>
      <c r="S141" s="1">
        <v>4</v>
      </c>
      <c r="T141" s="1">
        <v>3</v>
      </c>
      <c r="U141" s="1">
        <v>3</v>
      </c>
    </row>
    <row r="142" spans="1:32" ht="16" x14ac:dyDescent="0.2">
      <c r="A142" s="6">
        <v>9</v>
      </c>
      <c r="B142" s="8" t="s">
        <v>32</v>
      </c>
      <c r="C142" s="7" t="s">
        <v>33</v>
      </c>
      <c r="D142" s="1">
        <v>1.21</v>
      </c>
      <c r="E142" s="1">
        <v>19.682539680000001</v>
      </c>
      <c r="F142" s="4" t="s">
        <v>23</v>
      </c>
      <c r="G142" s="1">
        <f t="shared" si="10"/>
        <v>76</v>
      </c>
      <c r="H142" s="1"/>
      <c r="I142" s="1"/>
      <c r="J142" s="1"/>
      <c r="K142" s="1">
        <f t="shared" si="11"/>
        <v>66</v>
      </c>
      <c r="L142" s="1">
        <v>10</v>
      </c>
      <c r="M142" s="1">
        <v>10</v>
      </c>
      <c r="N142" s="1">
        <v>10</v>
      </c>
      <c r="O142" s="1">
        <v>8</v>
      </c>
      <c r="P142" s="1">
        <v>5</v>
      </c>
      <c r="Q142" s="1">
        <v>7</v>
      </c>
      <c r="R142" s="1">
        <v>5</v>
      </c>
      <c r="S142" s="1">
        <v>6</v>
      </c>
      <c r="T142" s="1">
        <v>7</v>
      </c>
      <c r="U142" s="1">
        <v>8</v>
      </c>
    </row>
    <row r="143" spans="1:32" ht="16" x14ac:dyDescent="0.2">
      <c r="A143" s="6">
        <v>10</v>
      </c>
      <c r="B143" s="8" t="s">
        <v>32</v>
      </c>
      <c r="C143" s="7" t="s">
        <v>33</v>
      </c>
      <c r="D143" s="1">
        <v>1.32</v>
      </c>
      <c r="E143" s="1">
        <v>4.5412844039999998</v>
      </c>
      <c r="F143" s="4" t="s">
        <v>23</v>
      </c>
      <c r="G143" s="1">
        <f t="shared" si="10"/>
        <v>34</v>
      </c>
      <c r="H143" s="1"/>
      <c r="I143" s="1"/>
      <c r="J143" s="1"/>
      <c r="K143" s="1">
        <f t="shared" si="11"/>
        <v>28</v>
      </c>
      <c r="L143" s="1">
        <v>0</v>
      </c>
      <c r="M143" s="1">
        <v>3</v>
      </c>
      <c r="N143" s="1">
        <v>4</v>
      </c>
      <c r="O143" s="1">
        <v>7</v>
      </c>
      <c r="P143" s="1">
        <v>6</v>
      </c>
      <c r="Q143" s="1">
        <v>3</v>
      </c>
      <c r="R143" s="1">
        <v>2</v>
      </c>
      <c r="S143" s="1">
        <v>4</v>
      </c>
      <c r="T143" s="1">
        <v>3</v>
      </c>
      <c r="U143" s="1">
        <v>2</v>
      </c>
    </row>
    <row r="144" spans="1:32" ht="16" x14ac:dyDescent="0.2">
      <c r="A144" s="6">
        <v>11</v>
      </c>
      <c r="B144" s="8" t="s">
        <v>32</v>
      </c>
      <c r="C144" s="7" t="s">
        <v>33</v>
      </c>
      <c r="D144" s="1">
        <v>1.36</v>
      </c>
      <c r="E144" s="1">
        <v>9.7461928929999999</v>
      </c>
      <c r="F144" s="4" t="s">
        <v>23</v>
      </c>
      <c r="G144" s="1">
        <f t="shared" si="10"/>
        <v>28</v>
      </c>
      <c r="H144" s="1"/>
      <c r="I144" s="1"/>
      <c r="J144" s="1"/>
      <c r="K144" s="1">
        <f t="shared" si="11"/>
        <v>20</v>
      </c>
      <c r="L144" s="1">
        <v>9</v>
      </c>
      <c r="M144" s="1">
        <v>9</v>
      </c>
      <c r="N144" s="1">
        <v>0</v>
      </c>
      <c r="O144" s="1">
        <v>0</v>
      </c>
      <c r="P144" s="1">
        <v>0</v>
      </c>
      <c r="Q144" s="1">
        <v>3</v>
      </c>
      <c r="R144" s="1">
        <v>1</v>
      </c>
      <c r="S144" s="1">
        <v>1</v>
      </c>
      <c r="T144" s="1">
        <v>3</v>
      </c>
      <c r="U144" s="1">
        <v>2</v>
      </c>
    </row>
    <row r="145" spans="1:32" ht="16" x14ac:dyDescent="0.2">
      <c r="A145" s="6">
        <v>12</v>
      </c>
      <c r="B145" s="8" t="s">
        <v>32</v>
      </c>
      <c r="C145" s="7" t="s">
        <v>33</v>
      </c>
      <c r="D145" s="1">
        <v>1.42</v>
      </c>
      <c r="E145" s="1">
        <v>5.3539325839999998</v>
      </c>
      <c r="F145" s="4" t="s">
        <v>23</v>
      </c>
      <c r="G145" s="1">
        <f t="shared" si="10"/>
        <v>89</v>
      </c>
      <c r="H145" s="1"/>
      <c r="I145" s="1"/>
      <c r="J145" s="1"/>
      <c r="K145" s="1">
        <f t="shared" si="11"/>
        <v>82</v>
      </c>
      <c r="L145" s="1">
        <v>10</v>
      </c>
      <c r="M145" s="1">
        <v>10</v>
      </c>
      <c r="N145" s="1">
        <v>10</v>
      </c>
      <c r="O145" s="1">
        <v>10</v>
      </c>
      <c r="P145" s="1">
        <v>8</v>
      </c>
      <c r="Q145" s="1">
        <v>7</v>
      </c>
      <c r="R145" s="1">
        <v>7</v>
      </c>
      <c r="S145" s="1">
        <v>8</v>
      </c>
      <c r="T145" s="1">
        <v>9</v>
      </c>
      <c r="U145" s="1">
        <v>10</v>
      </c>
    </row>
    <row r="146" spans="1:32" ht="16" x14ac:dyDescent="0.2">
      <c r="A146" s="6">
        <v>13</v>
      </c>
      <c r="B146" s="8" t="s">
        <v>32</v>
      </c>
      <c r="C146" s="7" t="s">
        <v>33</v>
      </c>
      <c r="D146" s="1">
        <v>1.51</v>
      </c>
      <c r="E146" s="1">
        <v>7.3670212770000001</v>
      </c>
      <c r="F146" s="4" t="s">
        <v>23</v>
      </c>
      <c r="G146" s="1">
        <f t="shared" si="10"/>
        <v>46</v>
      </c>
      <c r="H146" s="1"/>
      <c r="I146" s="1"/>
      <c r="J146" s="1"/>
      <c r="K146" s="1">
        <f t="shared" si="11"/>
        <v>30</v>
      </c>
      <c r="L146" s="1">
        <v>10</v>
      </c>
      <c r="M146" s="1">
        <v>5</v>
      </c>
      <c r="N146" s="1">
        <v>6</v>
      </c>
      <c r="O146" s="1">
        <v>5</v>
      </c>
      <c r="P146" s="1">
        <v>5</v>
      </c>
      <c r="Q146" s="1">
        <v>3</v>
      </c>
      <c r="R146" s="1">
        <v>6</v>
      </c>
      <c r="S146" s="1">
        <v>1</v>
      </c>
      <c r="T146" s="1">
        <v>2</v>
      </c>
      <c r="U146" s="1">
        <v>3</v>
      </c>
    </row>
    <row r="147" spans="1:32" ht="16" x14ac:dyDescent="0.2">
      <c r="A147" s="6">
        <v>14</v>
      </c>
      <c r="B147" s="8" t="s">
        <v>32</v>
      </c>
      <c r="C147" s="7" t="s">
        <v>33</v>
      </c>
      <c r="D147" s="1">
        <v>1.56</v>
      </c>
      <c r="E147" s="1">
        <v>8.9385474859999992</v>
      </c>
      <c r="F147" s="4" t="s">
        <v>23</v>
      </c>
      <c r="G147" s="1">
        <f t="shared" si="10"/>
        <v>44</v>
      </c>
      <c r="H147" s="1"/>
      <c r="I147" s="1"/>
      <c r="J147" s="1"/>
      <c r="K147" s="1">
        <f t="shared" si="11"/>
        <v>50</v>
      </c>
      <c r="L147" s="1">
        <v>10</v>
      </c>
      <c r="M147" s="1">
        <v>0</v>
      </c>
      <c r="N147" s="1">
        <v>0</v>
      </c>
      <c r="O147" s="1">
        <v>4</v>
      </c>
      <c r="P147" s="1">
        <v>5</v>
      </c>
      <c r="Q147" s="1">
        <v>6</v>
      </c>
      <c r="R147" s="1">
        <v>5</v>
      </c>
      <c r="S147" s="1">
        <v>4</v>
      </c>
      <c r="T147" s="1">
        <v>4</v>
      </c>
      <c r="U147" s="1">
        <v>6</v>
      </c>
    </row>
    <row r="148" spans="1:32" ht="16" x14ac:dyDescent="0.2">
      <c r="A148" s="6">
        <v>15</v>
      </c>
      <c r="B148" s="8" t="s">
        <v>32</v>
      </c>
      <c r="C148" s="7" t="s">
        <v>33</v>
      </c>
      <c r="D148" s="1">
        <v>1.56</v>
      </c>
      <c r="E148" s="1">
        <v>9.5095367849999999</v>
      </c>
      <c r="F148" s="4" t="s">
        <v>23</v>
      </c>
      <c r="G148" s="1">
        <f t="shared" si="10"/>
        <v>29</v>
      </c>
      <c r="H148" s="1"/>
      <c r="I148" s="1"/>
      <c r="J148" s="1"/>
      <c r="K148" s="1">
        <f t="shared" si="11"/>
        <v>12</v>
      </c>
      <c r="L148" s="1">
        <v>4</v>
      </c>
      <c r="M148" s="1">
        <v>9</v>
      </c>
      <c r="N148" s="1">
        <v>7</v>
      </c>
      <c r="O148" s="1">
        <v>3</v>
      </c>
      <c r="P148" s="1">
        <v>0</v>
      </c>
      <c r="Q148" s="1">
        <v>0</v>
      </c>
      <c r="R148" s="1">
        <v>3</v>
      </c>
      <c r="S148" s="1">
        <v>2</v>
      </c>
      <c r="T148" s="1">
        <v>1</v>
      </c>
      <c r="U148" s="1">
        <v>0</v>
      </c>
    </row>
    <row r="149" spans="1:32" ht="16" x14ac:dyDescent="0.2">
      <c r="A149" s="6">
        <v>16</v>
      </c>
      <c r="B149" s="8" t="s">
        <v>32</v>
      </c>
      <c r="C149" s="7" t="s">
        <v>33</v>
      </c>
      <c r="D149" s="1">
        <v>1.57</v>
      </c>
      <c r="E149" s="1">
        <v>10.717299580000001</v>
      </c>
      <c r="F149" s="4" t="s">
        <v>23</v>
      </c>
      <c r="G149" s="1">
        <f t="shared" si="10"/>
        <v>86</v>
      </c>
      <c r="H149" s="1"/>
      <c r="I149" s="1"/>
      <c r="J149" s="1"/>
      <c r="K149" s="1">
        <f t="shared" si="11"/>
        <v>72</v>
      </c>
      <c r="L149" s="1">
        <v>10</v>
      </c>
      <c r="M149" s="1">
        <v>10</v>
      </c>
      <c r="N149" s="1">
        <v>10</v>
      </c>
      <c r="O149" s="1">
        <v>10</v>
      </c>
      <c r="P149" s="1">
        <v>10</v>
      </c>
      <c r="Q149" s="1">
        <v>8</v>
      </c>
      <c r="R149" s="1">
        <v>8</v>
      </c>
      <c r="S149" s="1">
        <v>8</v>
      </c>
      <c r="T149" s="1">
        <v>6</v>
      </c>
      <c r="U149" s="1">
        <v>6</v>
      </c>
    </row>
    <row r="150" spans="1:32" ht="16" x14ac:dyDescent="0.2">
      <c r="A150" s="6">
        <v>17</v>
      </c>
      <c r="B150" s="8" t="s">
        <v>32</v>
      </c>
      <c r="C150" s="7" t="s">
        <v>33</v>
      </c>
      <c r="D150" s="1">
        <v>1.58</v>
      </c>
      <c r="E150" s="1">
        <v>6.4019607839999999</v>
      </c>
      <c r="F150" s="4" t="s">
        <v>23</v>
      </c>
      <c r="G150" s="1">
        <f t="shared" si="10"/>
        <v>27</v>
      </c>
      <c r="H150" s="1"/>
      <c r="I150" s="1"/>
      <c r="J150" s="1"/>
      <c r="K150" s="1">
        <f t="shared" si="11"/>
        <v>14</v>
      </c>
      <c r="L150" s="1">
        <v>10</v>
      </c>
      <c r="M150" s="1">
        <v>0</v>
      </c>
      <c r="N150" s="1">
        <v>3</v>
      </c>
      <c r="O150" s="1">
        <v>3</v>
      </c>
      <c r="P150" s="1">
        <v>4</v>
      </c>
      <c r="Q150" s="1">
        <v>2</v>
      </c>
      <c r="R150" s="1">
        <v>3</v>
      </c>
      <c r="S150" s="1">
        <v>1</v>
      </c>
      <c r="T150" s="1">
        <v>0</v>
      </c>
      <c r="U150" s="1">
        <v>1</v>
      </c>
    </row>
    <row r="151" spans="1:32" ht="16" x14ac:dyDescent="0.2">
      <c r="A151" s="6">
        <v>18</v>
      </c>
      <c r="B151" s="8" t="s">
        <v>32</v>
      </c>
      <c r="C151" s="7" t="s">
        <v>33</v>
      </c>
      <c r="D151" s="1">
        <v>1.64</v>
      </c>
      <c r="E151" s="1">
        <v>3.488549618</v>
      </c>
      <c r="F151" s="4" t="s">
        <v>23</v>
      </c>
      <c r="G151" s="1">
        <f t="shared" si="10"/>
        <v>31</v>
      </c>
      <c r="H151" s="1"/>
      <c r="I151" s="1"/>
      <c r="J151" s="1"/>
      <c r="K151" s="1">
        <f t="shared" si="11"/>
        <v>14</v>
      </c>
      <c r="L151" s="1">
        <v>9</v>
      </c>
      <c r="M151" s="1">
        <v>4</v>
      </c>
      <c r="N151" s="1">
        <v>5</v>
      </c>
      <c r="O151" s="1">
        <v>3</v>
      </c>
      <c r="P151" s="1">
        <v>3</v>
      </c>
      <c r="Q151" s="1">
        <v>3</v>
      </c>
      <c r="R151" s="1">
        <v>0</v>
      </c>
      <c r="S151" s="1">
        <v>0</v>
      </c>
      <c r="T151" s="1">
        <v>2</v>
      </c>
      <c r="U151" s="1">
        <v>2</v>
      </c>
    </row>
    <row r="152" spans="1:32" ht="16" x14ac:dyDescent="0.2">
      <c r="A152" s="6">
        <v>19</v>
      </c>
      <c r="B152" s="8" t="s">
        <v>32</v>
      </c>
      <c r="C152" s="7" t="s">
        <v>33</v>
      </c>
      <c r="D152" s="1">
        <v>1.86</v>
      </c>
      <c r="E152" s="1">
        <v>7.1304347830000001</v>
      </c>
      <c r="F152" s="4" t="s">
        <v>23</v>
      </c>
      <c r="G152" s="1">
        <f t="shared" si="10"/>
        <v>10</v>
      </c>
      <c r="H152" s="1"/>
      <c r="I152" s="1"/>
      <c r="J152" s="1"/>
      <c r="K152" s="1">
        <f t="shared" si="11"/>
        <v>0</v>
      </c>
      <c r="L152" s="1">
        <v>10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32" ht="16" x14ac:dyDescent="0.2">
      <c r="A153" s="6">
        <v>20</v>
      </c>
      <c r="B153" s="8" t="s">
        <v>32</v>
      </c>
      <c r="C153" s="7" t="s">
        <v>33</v>
      </c>
      <c r="D153" s="1">
        <v>1.93</v>
      </c>
      <c r="E153" s="1">
        <v>6.736842105</v>
      </c>
      <c r="F153" s="4" t="s">
        <v>23</v>
      </c>
      <c r="G153" s="1">
        <f t="shared" si="10"/>
        <v>17</v>
      </c>
      <c r="H153" s="1"/>
      <c r="I153" s="1"/>
      <c r="J153" s="1"/>
      <c r="K153" s="1">
        <f t="shared" si="11"/>
        <v>8</v>
      </c>
      <c r="L153" s="1">
        <v>10</v>
      </c>
      <c r="M153" s="1">
        <v>0</v>
      </c>
      <c r="N153" s="1">
        <v>0</v>
      </c>
      <c r="O153" s="1">
        <v>3</v>
      </c>
      <c r="P153" s="1">
        <v>0</v>
      </c>
      <c r="Q153" s="1">
        <v>0</v>
      </c>
      <c r="R153" s="1">
        <v>1</v>
      </c>
      <c r="S153" s="1">
        <v>0</v>
      </c>
      <c r="T153" s="1">
        <v>2</v>
      </c>
      <c r="U153" s="1">
        <v>1</v>
      </c>
    </row>
    <row r="154" spans="1:32" ht="16" x14ac:dyDescent="0.2">
      <c r="A154" s="6">
        <v>1</v>
      </c>
      <c r="B154" s="8" t="s">
        <v>34</v>
      </c>
      <c r="C154" s="7" t="s">
        <v>35</v>
      </c>
      <c r="D154" s="1">
        <v>0.8</v>
      </c>
      <c r="E154" s="1">
        <v>5.8532934130000003</v>
      </c>
      <c r="F154" s="4" t="s">
        <v>23</v>
      </c>
      <c r="G154" s="1">
        <f t="shared" si="10"/>
        <v>91</v>
      </c>
      <c r="H154" s="1"/>
      <c r="I154" s="1"/>
      <c r="J154" s="1"/>
      <c r="K154" s="1">
        <f t="shared" si="11"/>
        <v>86</v>
      </c>
      <c r="L154" s="1">
        <v>10</v>
      </c>
      <c r="M154" s="1">
        <v>10</v>
      </c>
      <c r="N154" s="1">
        <v>10</v>
      </c>
      <c r="O154" s="1">
        <v>9</v>
      </c>
      <c r="P154" s="1">
        <v>9</v>
      </c>
      <c r="Q154" s="1">
        <v>9</v>
      </c>
      <c r="R154" s="1">
        <v>9</v>
      </c>
      <c r="S154" s="1">
        <v>9</v>
      </c>
      <c r="T154" s="1">
        <v>9</v>
      </c>
      <c r="U154" s="1">
        <v>7</v>
      </c>
      <c r="W154">
        <f>AVERAGE(L154:L164)*10</f>
        <v>97.272727272727266</v>
      </c>
      <c r="X154">
        <f t="shared" ref="X154:AF154" si="13">AVERAGE(M154:M164)*10</f>
        <v>68.181818181818187</v>
      </c>
      <c r="Y154">
        <f t="shared" si="13"/>
        <v>65.454545454545453</v>
      </c>
      <c r="Z154">
        <f t="shared" si="13"/>
        <v>50</v>
      </c>
      <c r="AA154">
        <f t="shared" si="13"/>
        <v>54.54545454545454</v>
      </c>
      <c r="AB154">
        <f t="shared" si="13"/>
        <v>56.363636363636367</v>
      </c>
      <c r="AC154">
        <f t="shared" si="13"/>
        <v>58.181818181818187</v>
      </c>
      <c r="AD154">
        <f t="shared" si="13"/>
        <v>55.45454545454546</v>
      </c>
      <c r="AE154">
        <f t="shared" si="13"/>
        <v>50.909090909090907</v>
      </c>
      <c r="AF154">
        <f t="shared" si="13"/>
        <v>43.636363636363633</v>
      </c>
    </row>
    <row r="155" spans="1:32" ht="16" x14ac:dyDescent="0.2">
      <c r="A155" s="6">
        <v>2</v>
      </c>
      <c r="B155" s="8" t="s">
        <v>34</v>
      </c>
      <c r="C155" s="7" t="s">
        <v>35</v>
      </c>
      <c r="D155" s="1">
        <v>1.23</v>
      </c>
      <c r="E155" s="1">
        <v>4.9544863460000004</v>
      </c>
      <c r="F155" s="4" t="s">
        <v>23</v>
      </c>
      <c r="G155" s="1">
        <f t="shared" si="10"/>
        <v>65</v>
      </c>
      <c r="H155" s="1"/>
      <c r="I155" s="1"/>
      <c r="J155" s="1"/>
      <c r="K155" s="1">
        <f t="shared" si="11"/>
        <v>54</v>
      </c>
      <c r="L155" s="1">
        <v>10</v>
      </c>
      <c r="M155" s="1">
        <v>7</v>
      </c>
      <c r="N155" s="1">
        <v>7</v>
      </c>
      <c r="O155" s="1">
        <v>8</v>
      </c>
      <c r="P155" s="1">
        <v>6</v>
      </c>
      <c r="Q155" s="1">
        <v>7</v>
      </c>
      <c r="R155" s="1">
        <v>7</v>
      </c>
      <c r="S155" s="1">
        <v>5</v>
      </c>
      <c r="T155" s="1">
        <v>4</v>
      </c>
      <c r="U155" s="1">
        <v>4</v>
      </c>
    </row>
    <row r="156" spans="1:32" ht="16" x14ac:dyDescent="0.2">
      <c r="A156" s="6">
        <v>3</v>
      </c>
      <c r="B156" s="8" t="s">
        <v>34</v>
      </c>
      <c r="C156" s="7" t="s">
        <v>35</v>
      </c>
      <c r="D156" s="1">
        <v>2.93</v>
      </c>
      <c r="E156" s="1">
        <v>3.75</v>
      </c>
      <c r="F156" s="4" t="s">
        <v>23</v>
      </c>
      <c r="G156" s="1">
        <f t="shared" si="10"/>
        <v>34</v>
      </c>
      <c r="H156" s="1"/>
      <c r="I156" s="1"/>
      <c r="J156" s="1"/>
      <c r="K156" s="1">
        <f t="shared" si="11"/>
        <v>20</v>
      </c>
      <c r="L156" s="1">
        <v>8</v>
      </c>
      <c r="M156" s="1">
        <v>7</v>
      </c>
      <c r="N156" s="1">
        <v>9</v>
      </c>
      <c r="O156" s="1">
        <v>0</v>
      </c>
      <c r="P156" s="1">
        <v>0</v>
      </c>
      <c r="Q156" s="1">
        <v>2</v>
      </c>
      <c r="R156" s="1">
        <v>3</v>
      </c>
      <c r="S156" s="1">
        <v>2</v>
      </c>
      <c r="T156" s="1">
        <v>2</v>
      </c>
      <c r="U156" s="1">
        <v>1</v>
      </c>
    </row>
    <row r="157" spans="1:32" ht="16" x14ac:dyDescent="0.2">
      <c r="A157" s="6">
        <v>4</v>
      </c>
      <c r="B157" s="8" t="s">
        <v>34</v>
      </c>
      <c r="C157" s="7" t="s">
        <v>35</v>
      </c>
      <c r="D157" s="1">
        <v>0.94</v>
      </c>
      <c r="E157" s="1">
        <v>6.548387097</v>
      </c>
      <c r="F157" s="4" t="s">
        <v>23</v>
      </c>
      <c r="G157" s="1">
        <f t="shared" si="10"/>
        <v>73</v>
      </c>
      <c r="H157" s="1"/>
      <c r="I157" s="1"/>
      <c r="J157" s="1"/>
      <c r="K157" s="1">
        <f t="shared" si="11"/>
        <v>60</v>
      </c>
      <c r="L157" s="1">
        <v>10</v>
      </c>
      <c r="M157" s="1">
        <v>10</v>
      </c>
      <c r="N157" s="1">
        <v>10</v>
      </c>
      <c r="O157" s="1">
        <v>6</v>
      </c>
      <c r="P157" s="1">
        <v>7</v>
      </c>
      <c r="Q157" s="1">
        <v>6</v>
      </c>
      <c r="R157" s="1">
        <v>6</v>
      </c>
      <c r="S157" s="1">
        <v>7</v>
      </c>
      <c r="T157" s="1">
        <v>7</v>
      </c>
      <c r="U157" s="1">
        <v>4</v>
      </c>
    </row>
    <row r="158" spans="1:32" ht="16" x14ac:dyDescent="0.2">
      <c r="A158" s="6">
        <v>5</v>
      </c>
      <c r="B158" s="8" t="s">
        <v>34</v>
      </c>
      <c r="C158" s="7" t="s">
        <v>35</v>
      </c>
      <c r="D158" s="1">
        <v>0.99</v>
      </c>
      <c r="E158" s="1">
        <v>4.3205128210000003</v>
      </c>
      <c r="F158" s="4" t="s">
        <v>23</v>
      </c>
      <c r="G158" s="1">
        <f t="shared" si="10"/>
        <v>53</v>
      </c>
      <c r="H158" s="1"/>
      <c r="I158" s="1"/>
      <c r="J158" s="1"/>
      <c r="K158" s="1">
        <f t="shared" si="11"/>
        <v>50</v>
      </c>
      <c r="L158" s="1">
        <v>10</v>
      </c>
      <c r="M158" s="1">
        <v>10</v>
      </c>
      <c r="N158" s="1">
        <v>3</v>
      </c>
      <c r="O158" s="1">
        <v>0</v>
      </c>
      <c r="P158" s="1">
        <v>5</v>
      </c>
      <c r="Q158" s="1">
        <v>6</v>
      </c>
      <c r="R158" s="1">
        <v>6</v>
      </c>
      <c r="S158" s="1">
        <v>7</v>
      </c>
      <c r="T158" s="1">
        <v>3</v>
      </c>
      <c r="U158" s="1">
        <v>3</v>
      </c>
    </row>
    <row r="159" spans="1:32" ht="17" x14ac:dyDescent="0.2">
      <c r="A159" s="6">
        <v>6</v>
      </c>
      <c r="B159" s="8" t="s">
        <v>34</v>
      </c>
      <c r="C159" s="7" t="s">
        <v>35</v>
      </c>
      <c r="D159" s="1">
        <v>0.99</v>
      </c>
      <c r="E159" s="1">
        <v>6.7380000000000004</v>
      </c>
      <c r="F159" s="5" t="s">
        <v>20</v>
      </c>
      <c r="G159" s="1">
        <f t="shared" si="10"/>
        <v>100</v>
      </c>
      <c r="H159" s="1"/>
      <c r="I159" s="1"/>
      <c r="J159" s="1"/>
      <c r="K159" s="1">
        <f t="shared" si="11"/>
        <v>100</v>
      </c>
      <c r="L159" s="1">
        <v>10</v>
      </c>
      <c r="M159" s="1">
        <v>10</v>
      </c>
      <c r="N159" s="1">
        <v>10</v>
      </c>
      <c r="O159" s="1">
        <v>10</v>
      </c>
      <c r="P159" s="1">
        <v>10</v>
      </c>
      <c r="Q159" s="1">
        <v>10</v>
      </c>
      <c r="R159" s="1">
        <v>10</v>
      </c>
      <c r="S159" s="1">
        <v>10</v>
      </c>
      <c r="T159" s="1">
        <v>10</v>
      </c>
      <c r="U159" s="1">
        <v>10</v>
      </c>
    </row>
    <row r="160" spans="1:32" ht="17" x14ac:dyDescent="0.2">
      <c r="A160" s="6">
        <v>7</v>
      </c>
      <c r="B160" s="8" t="s">
        <v>34</v>
      </c>
      <c r="C160" s="7" t="s">
        <v>35</v>
      </c>
      <c r="D160" s="1">
        <v>1.75</v>
      </c>
      <c r="E160" s="1">
        <v>3.4390000000000001</v>
      </c>
      <c r="F160" s="5" t="s">
        <v>20</v>
      </c>
      <c r="G160" s="1">
        <f t="shared" si="10"/>
        <v>18</v>
      </c>
      <c r="H160" s="1"/>
      <c r="I160" s="1"/>
      <c r="J160" s="1"/>
      <c r="K160" s="1">
        <f t="shared" si="11"/>
        <v>6</v>
      </c>
      <c r="L160" s="1">
        <v>10</v>
      </c>
      <c r="M160" s="1">
        <v>0</v>
      </c>
      <c r="N160" s="1">
        <v>3</v>
      </c>
      <c r="O160" s="1">
        <v>2</v>
      </c>
      <c r="P160" s="1">
        <v>0</v>
      </c>
      <c r="Q160" s="1">
        <v>3</v>
      </c>
      <c r="R160" s="1">
        <v>0</v>
      </c>
      <c r="S160" s="1">
        <v>0</v>
      </c>
      <c r="T160" s="1">
        <v>0</v>
      </c>
      <c r="U160" s="1">
        <v>0</v>
      </c>
    </row>
    <row r="161" spans="1:32" ht="17" x14ac:dyDescent="0.2">
      <c r="A161" s="6">
        <v>8</v>
      </c>
      <c r="B161" s="8" t="s">
        <v>34</v>
      </c>
      <c r="C161" s="7" t="s">
        <v>35</v>
      </c>
      <c r="D161" s="1">
        <v>0.87</v>
      </c>
      <c r="E161" s="1">
        <v>8.452</v>
      </c>
      <c r="F161" s="5" t="s">
        <v>20</v>
      </c>
      <c r="G161" s="1">
        <f t="shared" si="10"/>
        <v>100</v>
      </c>
      <c r="H161" s="1"/>
      <c r="I161" s="1"/>
      <c r="J161" s="1"/>
      <c r="K161" s="1">
        <f t="shared" si="11"/>
        <v>100</v>
      </c>
      <c r="L161" s="1">
        <v>10</v>
      </c>
      <c r="M161" s="1">
        <v>10</v>
      </c>
      <c r="N161" s="1">
        <v>10</v>
      </c>
      <c r="O161" s="1">
        <v>10</v>
      </c>
      <c r="P161" s="1">
        <v>10</v>
      </c>
      <c r="Q161" s="1">
        <v>10</v>
      </c>
      <c r="R161" s="1">
        <v>10</v>
      </c>
      <c r="S161" s="1">
        <v>10</v>
      </c>
      <c r="T161" s="1">
        <v>10</v>
      </c>
      <c r="U161" s="1">
        <v>10</v>
      </c>
    </row>
    <row r="162" spans="1:32" ht="17" x14ac:dyDescent="0.2">
      <c r="A162" s="6">
        <v>9</v>
      </c>
      <c r="B162" s="8" t="s">
        <v>34</v>
      </c>
      <c r="C162" s="7" t="s">
        <v>35</v>
      </c>
      <c r="D162" s="1">
        <v>1.1299999999999999</v>
      </c>
      <c r="E162" s="1">
        <v>5.5605381170000001</v>
      </c>
      <c r="F162" s="5" t="s">
        <v>20</v>
      </c>
      <c r="G162" s="1">
        <f t="shared" si="10"/>
        <v>87</v>
      </c>
      <c r="H162" s="1"/>
      <c r="I162" s="1"/>
      <c r="J162" s="1"/>
      <c r="K162" s="1">
        <f t="shared" si="11"/>
        <v>80</v>
      </c>
      <c r="L162" s="1">
        <v>10</v>
      </c>
      <c r="M162" s="1">
        <v>10</v>
      </c>
      <c r="N162" s="1">
        <v>10</v>
      </c>
      <c r="O162" s="1">
        <v>8</v>
      </c>
      <c r="P162" s="1">
        <v>9</v>
      </c>
      <c r="Q162" s="1">
        <v>9</v>
      </c>
      <c r="R162" s="1">
        <v>10</v>
      </c>
      <c r="S162" s="1">
        <v>7</v>
      </c>
      <c r="T162" s="1">
        <v>7</v>
      </c>
      <c r="U162" s="1">
        <v>7</v>
      </c>
    </row>
    <row r="163" spans="1:32" ht="17" x14ac:dyDescent="0.2">
      <c r="A163" s="6">
        <v>10</v>
      </c>
      <c r="B163" s="8" t="s">
        <v>34</v>
      </c>
      <c r="C163" s="7" t="s">
        <v>35</v>
      </c>
      <c r="D163" s="1">
        <v>2.0299999999999998</v>
      </c>
      <c r="E163" s="1">
        <v>4.29</v>
      </c>
      <c r="F163" s="5" t="s">
        <v>20</v>
      </c>
      <c r="G163" s="1">
        <f t="shared" si="10"/>
        <v>29</v>
      </c>
      <c r="H163" s="1"/>
      <c r="I163" s="1"/>
      <c r="J163" s="1"/>
      <c r="K163" s="1">
        <f t="shared" si="11"/>
        <v>26</v>
      </c>
      <c r="L163" s="1">
        <v>9</v>
      </c>
      <c r="M163" s="1">
        <v>1</v>
      </c>
      <c r="N163" s="1">
        <v>0</v>
      </c>
      <c r="O163" s="1">
        <v>2</v>
      </c>
      <c r="P163" s="1">
        <v>4</v>
      </c>
      <c r="Q163" s="1">
        <v>0</v>
      </c>
      <c r="R163" s="1">
        <v>3</v>
      </c>
      <c r="S163" s="1">
        <v>4</v>
      </c>
      <c r="T163" s="1">
        <v>4</v>
      </c>
      <c r="U163" s="1">
        <v>2</v>
      </c>
    </row>
    <row r="164" spans="1:32" ht="17" x14ac:dyDescent="0.2">
      <c r="A164" s="6">
        <v>11</v>
      </c>
      <c r="B164" s="8" t="s">
        <v>34</v>
      </c>
      <c r="C164" s="7" t="s">
        <v>35</v>
      </c>
      <c r="D164" s="1">
        <v>2.4500000000000002</v>
      </c>
      <c r="E164" s="1">
        <v>5.1602564099999997</v>
      </c>
      <c r="F164" s="5" t="s">
        <v>20</v>
      </c>
      <c r="G164" s="1">
        <f t="shared" si="10"/>
        <v>10</v>
      </c>
      <c r="H164" s="1"/>
      <c r="I164" s="1"/>
      <c r="J164" s="1"/>
      <c r="K164" s="1">
        <f t="shared" si="11"/>
        <v>0</v>
      </c>
      <c r="L164" s="1">
        <v>10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32" ht="34" x14ac:dyDescent="0.2">
      <c r="A165" s="9">
        <v>1</v>
      </c>
      <c r="B165" s="9" t="s">
        <v>36</v>
      </c>
      <c r="C165" s="9" t="s">
        <v>37</v>
      </c>
      <c r="D165" s="5">
        <v>1.25</v>
      </c>
      <c r="E165" s="5">
        <v>5.7142857139999998</v>
      </c>
      <c r="F165" s="5" t="s">
        <v>20</v>
      </c>
      <c r="G165" s="1">
        <f t="shared" si="10"/>
        <v>11</v>
      </c>
      <c r="H165" s="1"/>
      <c r="I165" s="1"/>
      <c r="J165" s="1"/>
      <c r="K165" s="1">
        <f t="shared" si="11"/>
        <v>2</v>
      </c>
      <c r="L165">
        <v>10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W165">
        <f>AVERAGE(L165:L172)*10</f>
        <v>100</v>
      </c>
      <c r="X165">
        <f t="shared" ref="X165:AF165" si="14">AVERAGE(M165:M172)*10</f>
        <v>52.5</v>
      </c>
      <c r="Y165">
        <f t="shared" si="14"/>
        <v>62.5</v>
      </c>
      <c r="Z165">
        <f t="shared" si="14"/>
        <v>41.25</v>
      </c>
      <c r="AA165">
        <f t="shared" si="14"/>
        <v>50</v>
      </c>
      <c r="AB165">
        <f t="shared" si="14"/>
        <v>45</v>
      </c>
      <c r="AC165">
        <f t="shared" si="14"/>
        <v>50</v>
      </c>
      <c r="AD165">
        <f t="shared" si="14"/>
        <v>42.5</v>
      </c>
      <c r="AE165">
        <f t="shared" si="14"/>
        <v>43.75</v>
      </c>
      <c r="AF165">
        <f t="shared" si="14"/>
        <v>41.25</v>
      </c>
    </row>
    <row r="166" spans="1:32" ht="34" x14ac:dyDescent="0.2">
      <c r="A166" s="9">
        <v>2</v>
      </c>
      <c r="B166" s="9" t="s">
        <v>36</v>
      </c>
      <c r="C166" s="9" t="s">
        <v>37</v>
      </c>
      <c r="D166" s="5">
        <v>0.8</v>
      </c>
      <c r="E166" s="5">
        <v>6.1463414629999997</v>
      </c>
      <c r="F166" s="5" t="s">
        <v>20</v>
      </c>
      <c r="G166" s="1">
        <f t="shared" si="10"/>
        <v>61</v>
      </c>
      <c r="H166" s="1"/>
      <c r="I166" s="1"/>
      <c r="J166" s="1"/>
      <c r="K166" s="1">
        <f t="shared" si="11"/>
        <v>62</v>
      </c>
      <c r="L166">
        <v>10</v>
      </c>
      <c r="M166">
        <v>6</v>
      </c>
      <c r="N166">
        <v>6</v>
      </c>
      <c r="O166">
        <v>3</v>
      </c>
      <c r="P166">
        <v>5</v>
      </c>
      <c r="Q166">
        <v>6</v>
      </c>
      <c r="R166">
        <v>7</v>
      </c>
      <c r="S166">
        <v>5</v>
      </c>
      <c r="T166">
        <v>8</v>
      </c>
      <c r="U166">
        <v>5</v>
      </c>
    </row>
    <row r="167" spans="1:32" ht="34" x14ac:dyDescent="0.2">
      <c r="A167" s="9">
        <v>3</v>
      </c>
      <c r="B167" s="9" t="s">
        <v>36</v>
      </c>
      <c r="C167" s="9" t="s">
        <v>37</v>
      </c>
      <c r="D167" s="5">
        <v>0.86</v>
      </c>
      <c r="E167" s="5">
        <v>6.3483146069999998</v>
      </c>
      <c r="F167" s="5" t="s">
        <v>20</v>
      </c>
      <c r="G167" s="1">
        <f t="shared" si="10"/>
        <v>49</v>
      </c>
      <c r="H167" s="1"/>
      <c r="I167" s="1"/>
      <c r="J167" s="1"/>
      <c r="K167" s="1">
        <f t="shared" si="11"/>
        <v>26</v>
      </c>
      <c r="L167">
        <v>10</v>
      </c>
      <c r="M167">
        <v>10</v>
      </c>
      <c r="N167">
        <v>6</v>
      </c>
      <c r="O167">
        <v>3</v>
      </c>
      <c r="P167">
        <v>7</v>
      </c>
      <c r="Q167">
        <v>5</v>
      </c>
      <c r="R167">
        <v>2</v>
      </c>
      <c r="S167">
        <v>1</v>
      </c>
      <c r="T167">
        <v>1</v>
      </c>
      <c r="U167">
        <v>4</v>
      </c>
    </row>
    <row r="168" spans="1:32" ht="34" x14ac:dyDescent="0.2">
      <c r="A168" s="9">
        <v>4</v>
      </c>
      <c r="B168" s="9" t="s">
        <v>36</v>
      </c>
      <c r="C168" s="9" t="s">
        <v>37</v>
      </c>
      <c r="D168" s="5">
        <v>0.68</v>
      </c>
      <c r="E168" s="5">
        <v>6.9325153369999999</v>
      </c>
      <c r="F168" s="5" t="s">
        <v>20</v>
      </c>
      <c r="G168" s="1">
        <f t="shared" si="10"/>
        <v>37</v>
      </c>
      <c r="H168" s="1"/>
      <c r="I168" s="1"/>
      <c r="J168" s="1"/>
      <c r="K168" s="1">
        <f t="shared" si="11"/>
        <v>22</v>
      </c>
      <c r="L168">
        <v>10</v>
      </c>
      <c r="M168">
        <v>1</v>
      </c>
      <c r="N168">
        <v>10</v>
      </c>
      <c r="O168">
        <v>2</v>
      </c>
      <c r="P168">
        <v>3</v>
      </c>
      <c r="Q168">
        <v>2</v>
      </c>
      <c r="R168">
        <v>2</v>
      </c>
      <c r="S168">
        <v>2</v>
      </c>
      <c r="T168">
        <v>3</v>
      </c>
      <c r="U168">
        <v>2</v>
      </c>
    </row>
    <row r="169" spans="1:32" ht="34" x14ac:dyDescent="0.2">
      <c r="A169" s="9">
        <v>5</v>
      </c>
      <c r="B169" s="9" t="s">
        <v>36</v>
      </c>
      <c r="C169" s="9" t="s">
        <v>37</v>
      </c>
      <c r="D169" s="5">
        <v>0.82</v>
      </c>
      <c r="E169" s="5">
        <v>6.0519480520000002</v>
      </c>
      <c r="F169" s="5" t="s">
        <v>20</v>
      </c>
      <c r="G169" s="1">
        <f t="shared" si="10"/>
        <v>16</v>
      </c>
      <c r="H169" s="1"/>
      <c r="I169" s="1"/>
      <c r="J169" s="1"/>
      <c r="K169" s="1">
        <f t="shared" si="11"/>
        <v>6</v>
      </c>
      <c r="L169">
        <v>10</v>
      </c>
      <c r="M169">
        <v>0</v>
      </c>
      <c r="N169">
        <v>1</v>
      </c>
      <c r="O169">
        <v>0</v>
      </c>
      <c r="P169">
        <v>2</v>
      </c>
      <c r="Q169">
        <v>0</v>
      </c>
      <c r="R169">
        <v>1</v>
      </c>
      <c r="S169">
        <v>1</v>
      </c>
      <c r="T169">
        <v>1</v>
      </c>
      <c r="U169">
        <v>0</v>
      </c>
    </row>
    <row r="170" spans="1:32" ht="34" x14ac:dyDescent="0.2">
      <c r="A170" s="9">
        <v>6</v>
      </c>
      <c r="B170" s="9" t="s">
        <v>36</v>
      </c>
      <c r="C170" s="9" t="s">
        <v>37</v>
      </c>
      <c r="D170" s="5">
        <v>0.81</v>
      </c>
      <c r="E170" s="5">
        <v>5.5437665779999996</v>
      </c>
      <c r="F170" s="5" t="s">
        <v>20</v>
      </c>
      <c r="G170" s="1">
        <f t="shared" si="10"/>
        <v>100</v>
      </c>
      <c r="H170" s="1"/>
      <c r="I170" s="1"/>
      <c r="J170" s="1"/>
      <c r="K170" s="1">
        <f t="shared" si="11"/>
        <v>100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</row>
    <row r="171" spans="1:32" ht="34" x14ac:dyDescent="0.2">
      <c r="A171" s="9">
        <v>7</v>
      </c>
      <c r="B171" s="9" t="s">
        <v>36</v>
      </c>
      <c r="C171" s="9" t="s">
        <v>37</v>
      </c>
      <c r="D171" s="5">
        <v>1.04</v>
      </c>
      <c r="E171" s="5">
        <v>11.44736842</v>
      </c>
      <c r="F171" s="5" t="s">
        <v>20</v>
      </c>
      <c r="G171" s="1">
        <f t="shared" si="10"/>
        <v>100</v>
      </c>
      <c r="H171" s="1"/>
      <c r="I171" s="1"/>
      <c r="J171" s="1"/>
      <c r="K171" s="1">
        <f t="shared" si="11"/>
        <v>100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10</v>
      </c>
      <c r="U171">
        <v>10</v>
      </c>
    </row>
    <row r="172" spans="1:32" ht="34" x14ac:dyDescent="0.2">
      <c r="A172" s="9">
        <v>8</v>
      </c>
      <c r="B172" s="9" t="s">
        <v>36</v>
      </c>
      <c r="C172" s="9" t="s">
        <v>37</v>
      </c>
      <c r="D172" s="5">
        <v>0.7</v>
      </c>
      <c r="E172" s="5">
        <v>7.5</v>
      </c>
      <c r="F172" s="5" t="s">
        <v>20</v>
      </c>
      <c r="G172" s="1">
        <f t="shared" si="10"/>
        <v>49</v>
      </c>
      <c r="H172" s="1"/>
      <c r="I172" s="1"/>
      <c r="J172" s="1"/>
      <c r="K172" s="1">
        <f t="shared" si="11"/>
        <v>38</v>
      </c>
      <c r="L172">
        <v>10</v>
      </c>
      <c r="M172">
        <v>5</v>
      </c>
      <c r="N172">
        <v>7</v>
      </c>
      <c r="O172">
        <v>5</v>
      </c>
      <c r="P172">
        <v>3</v>
      </c>
      <c r="Q172">
        <v>3</v>
      </c>
      <c r="R172">
        <v>7</v>
      </c>
      <c r="S172">
        <v>5</v>
      </c>
      <c r="T172">
        <v>2</v>
      </c>
      <c r="U172">
        <v>2</v>
      </c>
    </row>
    <row r="173" spans="1:32" ht="16" x14ac:dyDescent="0.2">
      <c r="A173" s="6">
        <v>1</v>
      </c>
      <c r="B173" s="7" t="s">
        <v>38</v>
      </c>
      <c r="C173" s="7" t="s">
        <v>39</v>
      </c>
      <c r="D173" s="1">
        <v>1.17</v>
      </c>
      <c r="E173" s="1">
        <v>6.7567567569999998</v>
      </c>
      <c r="F173" s="4" t="s">
        <v>23</v>
      </c>
      <c r="G173" s="1">
        <f t="shared" si="10"/>
        <v>12</v>
      </c>
      <c r="H173" s="1"/>
      <c r="I173" s="1"/>
      <c r="J173" s="1"/>
      <c r="K173" s="1">
        <f t="shared" si="11"/>
        <v>0</v>
      </c>
      <c r="L173">
        <v>10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W173">
        <f>AVERAGE(L173:L194)*10</f>
        <v>95.454545454545453</v>
      </c>
      <c r="X173">
        <f t="shared" ref="X173:AF173" si="15">AVERAGE(M173:M194)*10</f>
        <v>40.909090909090907</v>
      </c>
      <c r="Y173">
        <f t="shared" si="15"/>
        <v>39.545454545454547</v>
      </c>
      <c r="Z173">
        <f t="shared" si="15"/>
        <v>41.363636363636367</v>
      </c>
      <c r="AA173">
        <f t="shared" si="15"/>
        <v>39.090909090909093</v>
      </c>
      <c r="AB173">
        <f t="shared" si="15"/>
        <v>41.818181818181813</v>
      </c>
      <c r="AC173">
        <f t="shared" si="15"/>
        <v>40</v>
      </c>
      <c r="AD173">
        <f t="shared" si="15"/>
        <v>41.363636363636367</v>
      </c>
      <c r="AE173">
        <f t="shared" si="15"/>
        <v>40.909090909090907</v>
      </c>
      <c r="AF173">
        <f t="shared" si="15"/>
        <v>41.818181818181813</v>
      </c>
    </row>
    <row r="174" spans="1:32" ht="16" x14ac:dyDescent="0.2">
      <c r="A174" s="6">
        <v>2</v>
      </c>
      <c r="B174" s="7" t="s">
        <v>38</v>
      </c>
      <c r="C174" s="7" t="s">
        <v>39</v>
      </c>
      <c r="D174" s="1">
        <v>1.27</v>
      </c>
      <c r="E174" s="1">
        <v>7.8181818180000002</v>
      </c>
      <c r="F174" s="4" t="s">
        <v>23</v>
      </c>
      <c r="G174" s="1">
        <f t="shared" si="10"/>
        <v>10</v>
      </c>
      <c r="H174" s="1"/>
      <c r="I174" s="1"/>
      <c r="J174" s="1"/>
      <c r="K174" s="1">
        <f t="shared" si="11"/>
        <v>0</v>
      </c>
      <c r="L174">
        <v>10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32" ht="16" x14ac:dyDescent="0.2">
      <c r="A175" s="6">
        <v>3</v>
      </c>
      <c r="B175" s="7" t="s">
        <v>38</v>
      </c>
      <c r="C175" s="7" t="s">
        <v>39</v>
      </c>
      <c r="D175" s="1">
        <v>0.85</v>
      </c>
      <c r="E175" s="1">
        <v>3.4941860469999999</v>
      </c>
      <c r="F175" s="4" t="s">
        <v>23</v>
      </c>
      <c r="G175" s="1">
        <f t="shared" si="10"/>
        <v>81</v>
      </c>
      <c r="H175" s="1"/>
      <c r="I175" s="1"/>
      <c r="J175" s="1"/>
      <c r="K175" s="1">
        <f t="shared" si="11"/>
        <v>74</v>
      </c>
      <c r="L175">
        <v>10</v>
      </c>
      <c r="M175">
        <v>8</v>
      </c>
      <c r="N175">
        <v>8</v>
      </c>
      <c r="O175">
        <v>9</v>
      </c>
      <c r="P175">
        <v>9</v>
      </c>
      <c r="Q175">
        <v>8</v>
      </c>
      <c r="R175">
        <v>8</v>
      </c>
      <c r="S175">
        <v>9</v>
      </c>
      <c r="T175">
        <v>5</v>
      </c>
      <c r="U175">
        <v>7</v>
      </c>
    </row>
    <row r="176" spans="1:32" ht="16" x14ac:dyDescent="0.2">
      <c r="A176" s="6">
        <v>4</v>
      </c>
      <c r="B176" s="7" t="s">
        <v>38</v>
      </c>
      <c r="C176" s="7" t="s">
        <v>39</v>
      </c>
      <c r="D176" s="1">
        <v>0.98</v>
      </c>
      <c r="E176" s="1">
        <v>6.335078534</v>
      </c>
      <c r="F176" s="4" t="s">
        <v>23</v>
      </c>
      <c r="G176" s="1">
        <f t="shared" si="10"/>
        <v>32</v>
      </c>
      <c r="H176" s="1"/>
      <c r="I176" s="1"/>
      <c r="J176" s="1"/>
      <c r="K176" s="1">
        <f t="shared" si="11"/>
        <v>26</v>
      </c>
      <c r="L176">
        <v>10</v>
      </c>
      <c r="M176">
        <v>3</v>
      </c>
      <c r="N176">
        <v>2</v>
      </c>
      <c r="O176">
        <v>2</v>
      </c>
      <c r="P176">
        <v>2</v>
      </c>
      <c r="Q176">
        <v>2</v>
      </c>
      <c r="R176">
        <v>3</v>
      </c>
      <c r="S176">
        <v>1</v>
      </c>
      <c r="T176">
        <v>3</v>
      </c>
      <c r="U176">
        <v>4</v>
      </c>
    </row>
    <row r="177" spans="1:21" ht="16" x14ac:dyDescent="0.2">
      <c r="A177" s="6">
        <v>5</v>
      </c>
      <c r="B177" s="7" t="s">
        <v>38</v>
      </c>
      <c r="C177" s="7" t="s">
        <v>39</v>
      </c>
      <c r="D177" s="1">
        <v>0.94</v>
      </c>
      <c r="E177" s="1">
        <v>7.861842105</v>
      </c>
      <c r="F177" s="4" t="s">
        <v>23</v>
      </c>
      <c r="G177" s="1">
        <f t="shared" si="10"/>
        <v>20</v>
      </c>
      <c r="H177" s="1"/>
      <c r="I177" s="1"/>
      <c r="J177" s="1"/>
      <c r="K177" s="1">
        <f t="shared" si="11"/>
        <v>20</v>
      </c>
      <c r="L177">
        <v>10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2</v>
      </c>
      <c r="T177">
        <v>3</v>
      </c>
      <c r="U177">
        <v>3</v>
      </c>
    </row>
    <row r="178" spans="1:21" ht="16" x14ac:dyDescent="0.2">
      <c r="A178" s="6">
        <v>6</v>
      </c>
      <c r="B178" s="7" t="s">
        <v>38</v>
      </c>
      <c r="C178" s="7" t="s">
        <v>39</v>
      </c>
      <c r="D178" s="1">
        <v>1.08</v>
      </c>
      <c r="E178" s="1">
        <v>5.0314136129999998</v>
      </c>
      <c r="F178" s="4" t="s">
        <v>23</v>
      </c>
      <c r="G178" s="1">
        <f t="shared" si="10"/>
        <v>80</v>
      </c>
      <c r="H178" s="1"/>
      <c r="I178" s="1"/>
      <c r="J178" s="1"/>
      <c r="K178" s="1">
        <f t="shared" si="11"/>
        <v>94</v>
      </c>
      <c r="L178">
        <v>10</v>
      </c>
      <c r="M178">
        <v>6</v>
      </c>
      <c r="N178">
        <v>5</v>
      </c>
      <c r="O178">
        <v>6</v>
      </c>
      <c r="P178">
        <v>6</v>
      </c>
      <c r="Q178">
        <v>10</v>
      </c>
      <c r="R178">
        <v>9</v>
      </c>
      <c r="S178">
        <v>9</v>
      </c>
      <c r="T178">
        <v>9</v>
      </c>
      <c r="U178">
        <v>10</v>
      </c>
    </row>
    <row r="179" spans="1:21" ht="16" x14ac:dyDescent="0.2">
      <c r="A179" s="6">
        <v>7</v>
      </c>
      <c r="B179" s="7" t="s">
        <v>38</v>
      </c>
      <c r="C179" s="7" t="s">
        <v>39</v>
      </c>
      <c r="D179" s="1">
        <v>0.75</v>
      </c>
      <c r="E179" s="1">
        <v>13.41563786</v>
      </c>
      <c r="F179" s="4" t="s">
        <v>23</v>
      </c>
      <c r="G179" s="1">
        <f t="shared" si="10"/>
        <v>100</v>
      </c>
      <c r="H179" s="1"/>
      <c r="I179" s="1"/>
      <c r="J179" s="1"/>
      <c r="K179" s="1">
        <f t="shared" si="11"/>
        <v>100</v>
      </c>
      <c r="L179">
        <v>10</v>
      </c>
      <c r="M179">
        <v>10</v>
      </c>
      <c r="N179">
        <v>10</v>
      </c>
      <c r="O179">
        <v>10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10</v>
      </c>
    </row>
    <row r="180" spans="1:21" ht="16" x14ac:dyDescent="0.2">
      <c r="A180" s="6">
        <v>8</v>
      </c>
      <c r="B180" s="7" t="s">
        <v>38</v>
      </c>
      <c r="C180" s="7" t="s">
        <v>39</v>
      </c>
      <c r="D180" s="1">
        <v>1.44</v>
      </c>
      <c r="E180" s="1">
        <v>9.2579505300000005</v>
      </c>
      <c r="F180" s="4" t="s">
        <v>23</v>
      </c>
      <c r="G180" s="1">
        <f t="shared" si="10"/>
        <v>10</v>
      </c>
      <c r="H180" s="1"/>
      <c r="I180" s="1"/>
      <c r="J180" s="1"/>
      <c r="K180" s="1">
        <f t="shared" si="11"/>
        <v>0</v>
      </c>
      <c r="L180">
        <v>10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ht="16" x14ac:dyDescent="0.2">
      <c r="A181" s="6">
        <v>9</v>
      </c>
      <c r="B181" s="7" t="s">
        <v>38</v>
      </c>
      <c r="C181" s="7" t="s">
        <v>39</v>
      </c>
      <c r="D181" s="1">
        <v>1.31</v>
      </c>
      <c r="E181" s="1">
        <v>2.677165354</v>
      </c>
      <c r="F181" s="4" t="s">
        <v>23</v>
      </c>
      <c r="G181" s="1">
        <f t="shared" si="10"/>
        <v>44</v>
      </c>
      <c r="H181" s="1"/>
      <c r="I181" s="1"/>
      <c r="J181" s="1"/>
      <c r="K181" s="1">
        <f t="shared" si="11"/>
        <v>26</v>
      </c>
      <c r="L181">
        <v>10</v>
      </c>
      <c r="M181">
        <v>4</v>
      </c>
      <c r="N181">
        <v>4</v>
      </c>
      <c r="O181">
        <v>8</v>
      </c>
      <c r="P181">
        <v>5</v>
      </c>
      <c r="Q181">
        <v>4</v>
      </c>
      <c r="R181">
        <v>3</v>
      </c>
      <c r="S181">
        <v>2</v>
      </c>
      <c r="T181">
        <v>2</v>
      </c>
      <c r="U181">
        <v>2</v>
      </c>
    </row>
    <row r="182" spans="1:21" ht="16" x14ac:dyDescent="0.2">
      <c r="A182" s="6">
        <v>10</v>
      </c>
      <c r="B182" s="7" t="s">
        <v>38</v>
      </c>
      <c r="C182" s="7" t="s">
        <v>39</v>
      </c>
      <c r="D182" s="1">
        <v>0.82</v>
      </c>
      <c r="E182" s="1">
        <v>7.3092369479999997</v>
      </c>
      <c r="F182" s="4" t="s">
        <v>23</v>
      </c>
      <c r="G182" s="1">
        <f t="shared" si="10"/>
        <v>100</v>
      </c>
      <c r="H182" s="1"/>
      <c r="I182" s="1"/>
      <c r="J182" s="1"/>
      <c r="K182" s="1">
        <f t="shared" si="11"/>
        <v>100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</row>
    <row r="183" spans="1:21" ht="16" x14ac:dyDescent="0.2">
      <c r="A183" s="6">
        <v>11</v>
      </c>
      <c r="B183" s="7" t="s">
        <v>38</v>
      </c>
      <c r="C183" s="7" t="s">
        <v>39</v>
      </c>
      <c r="D183" s="1">
        <v>1.82</v>
      </c>
      <c r="E183" s="1">
        <v>16.893203880000002</v>
      </c>
      <c r="F183" s="4" t="s">
        <v>23</v>
      </c>
      <c r="G183" s="1">
        <f t="shared" si="10"/>
        <v>11</v>
      </c>
      <c r="H183" s="1"/>
      <c r="I183" s="1"/>
      <c r="J183" s="1"/>
      <c r="K183" s="1">
        <f t="shared" si="11"/>
        <v>0</v>
      </c>
      <c r="L183">
        <v>10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ht="16" x14ac:dyDescent="0.2">
      <c r="A184" s="6">
        <v>12</v>
      </c>
      <c r="B184" s="7" t="s">
        <v>38</v>
      </c>
      <c r="C184" s="7" t="s">
        <v>39</v>
      </c>
      <c r="D184" s="1">
        <v>1.18</v>
      </c>
      <c r="E184" s="1">
        <v>8.1818181820000007</v>
      </c>
      <c r="F184" s="4" t="s">
        <v>23</v>
      </c>
      <c r="G184" s="1">
        <f t="shared" si="10"/>
        <v>12</v>
      </c>
      <c r="H184" s="1"/>
      <c r="I184" s="1"/>
      <c r="J184" s="1"/>
      <c r="K184" s="1">
        <f t="shared" si="11"/>
        <v>0</v>
      </c>
      <c r="L184">
        <v>10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ht="16" x14ac:dyDescent="0.2">
      <c r="A185" s="6">
        <v>13</v>
      </c>
      <c r="B185" s="7" t="s">
        <v>38</v>
      </c>
      <c r="C185" s="7" t="s">
        <v>39</v>
      </c>
      <c r="D185" s="1">
        <v>1.42</v>
      </c>
      <c r="E185" s="1">
        <v>5.8018867920000003</v>
      </c>
      <c r="F185" s="4" t="s">
        <v>23</v>
      </c>
      <c r="G185" s="1">
        <f t="shared" si="10"/>
        <v>0</v>
      </c>
      <c r="H185" s="1"/>
      <c r="I185" s="1"/>
      <c r="J185" s="1"/>
      <c r="K185" s="1">
        <f t="shared" si="11"/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ht="16" x14ac:dyDescent="0.2">
      <c r="A186" s="6">
        <v>14</v>
      </c>
      <c r="B186" s="7" t="s">
        <v>38</v>
      </c>
      <c r="C186" s="7" t="s">
        <v>39</v>
      </c>
      <c r="D186" s="1">
        <v>0.89</v>
      </c>
      <c r="E186" s="1">
        <v>8.6394557820000006</v>
      </c>
      <c r="F186" s="4" t="s">
        <v>23</v>
      </c>
      <c r="G186" s="1">
        <f t="shared" si="10"/>
        <v>78</v>
      </c>
      <c r="H186" s="1"/>
      <c r="I186" s="1"/>
      <c r="J186" s="1"/>
      <c r="K186" s="1">
        <f t="shared" si="11"/>
        <v>78</v>
      </c>
      <c r="L186">
        <v>10</v>
      </c>
      <c r="M186">
        <v>7</v>
      </c>
      <c r="N186">
        <v>8</v>
      </c>
      <c r="O186">
        <v>8</v>
      </c>
      <c r="P186">
        <v>6</v>
      </c>
      <c r="Q186">
        <v>8</v>
      </c>
      <c r="R186">
        <v>8</v>
      </c>
      <c r="S186">
        <v>8</v>
      </c>
      <c r="T186">
        <v>9</v>
      </c>
      <c r="U186">
        <v>6</v>
      </c>
    </row>
    <row r="187" spans="1:21" ht="16" x14ac:dyDescent="0.2">
      <c r="A187" s="6">
        <v>15</v>
      </c>
      <c r="B187" s="7" t="s">
        <v>38</v>
      </c>
      <c r="C187" s="7" t="s">
        <v>39</v>
      </c>
      <c r="D187" s="1">
        <v>1.1100000000000001</v>
      </c>
      <c r="E187" s="1">
        <v>9.3478260869999996</v>
      </c>
      <c r="F187" s="4" t="s">
        <v>23</v>
      </c>
      <c r="G187" s="1">
        <f t="shared" si="10"/>
        <v>45</v>
      </c>
      <c r="H187" s="1"/>
      <c r="I187" s="1"/>
      <c r="J187" s="1"/>
      <c r="K187" s="1">
        <f t="shared" si="11"/>
        <v>50</v>
      </c>
      <c r="L187">
        <v>10</v>
      </c>
      <c r="M187">
        <v>3</v>
      </c>
      <c r="N187">
        <v>2</v>
      </c>
      <c r="O187">
        <v>2</v>
      </c>
      <c r="P187">
        <v>3</v>
      </c>
      <c r="Q187">
        <v>5</v>
      </c>
      <c r="R187">
        <v>5</v>
      </c>
      <c r="S187">
        <v>5</v>
      </c>
      <c r="T187">
        <v>6</v>
      </c>
      <c r="U187">
        <v>4</v>
      </c>
    </row>
    <row r="188" spans="1:21" ht="16" x14ac:dyDescent="0.2">
      <c r="A188" s="6">
        <v>16</v>
      </c>
      <c r="B188" s="7" t="s">
        <v>38</v>
      </c>
      <c r="C188" s="7" t="s">
        <v>39</v>
      </c>
      <c r="D188" s="1">
        <v>1.04</v>
      </c>
      <c r="E188" s="1">
        <v>7.7647058820000003</v>
      </c>
      <c r="F188" s="4" t="s">
        <v>23</v>
      </c>
      <c r="G188" s="1">
        <f t="shared" si="10"/>
        <v>13</v>
      </c>
      <c r="H188" s="1"/>
      <c r="I188" s="1"/>
      <c r="J188" s="1"/>
      <c r="K188" s="1">
        <f t="shared" si="11"/>
        <v>6</v>
      </c>
      <c r="L188">
        <v>10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</row>
    <row r="189" spans="1:21" ht="16" x14ac:dyDescent="0.2">
      <c r="A189" s="6">
        <v>17</v>
      </c>
      <c r="B189" s="7" t="s">
        <v>38</v>
      </c>
      <c r="C189" s="7" t="s">
        <v>39</v>
      </c>
      <c r="D189" s="1">
        <v>0.99</v>
      </c>
      <c r="E189" s="1">
        <v>3.0252100839999998</v>
      </c>
      <c r="F189" s="4" t="s">
        <v>23</v>
      </c>
      <c r="G189" s="1">
        <f t="shared" si="10"/>
        <v>100</v>
      </c>
      <c r="H189" s="1"/>
      <c r="I189" s="1"/>
      <c r="J189" s="1"/>
      <c r="K189" s="1">
        <f t="shared" si="11"/>
        <v>100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</row>
    <row r="190" spans="1:21" ht="16" x14ac:dyDescent="0.2">
      <c r="A190" s="6">
        <v>18</v>
      </c>
      <c r="B190" s="7" t="s">
        <v>38</v>
      </c>
      <c r="C190" s="7" t="s">
        <v>39</v>
      </c>
      <c r="D190" s="1">
        <v>1.7</v>
      </c>
      <c r="E190" s="1">
        <v>8.0258899679999995</v>
      </c>
      <c r="F190" s="4" t="s">
        <v>23</v>
      </c>
      <c r="G190" s="1">
        <f t="shared" si="10"/>
        <v>19</v>
      </c>
      <c r="H190" s="1"/>
      <c r="I190" s="1"/>
      <c r="J190" s="1"/>
      <c r="K190" s="1">
        <f t="shared" si="11"/>
        <v>0</v>
      </c>
      <c r="L190">
        <v>10</v>
      </c>
      <c r="M190">
        <v>3</v>
      </c>
      <c r="N190">
        <v>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ht="16" x14ac:dyDescent="0.2">
      <c r="A191" s="6">
        <v>19</v>
      </c>
      <c r="B191" s="7" t="s">
        <v>38</v>
      </c>
      <c r="C191" s="7" t="s">
        <v>39</v>
      </c>
      <c r="D191" s="1">
        <v>2.02</v>
      </c>
      <c r="E191" s="1">
        <v>26.086956520000001</v>
      </c>
      <c r="F191" s="4" t="s">
        <v>23</v>
      </c>
      <c r="G191" s="1">
        <f t="shared" si="10"/>
        <v>10</v>
      </c>
      <c r="H191" s="1"/>
      <c r="I191" s="1"/>
      <c r="J191" s="1"/>
      <c r="K191" s="1">
        <f t="shared" si="11"/>
        <v>0</v>
      </c>
      <c r="L191">
        <v>10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ht="16" x14ac:dyDescent="0.2">
      <c r="A192" s="6">
        <v>20</v>
      </c>
      <c r="B192" s="7" t="s">
        <v>38</v>
      </c>
      <c r="C192" s="7" t="s">
        <v>39</v>
      </c>
      <c r="D192" s="1">
        <v>1.01</v>
      </c>
      <c r="E192" s="1">
        <v>19.81382979</v>
      </c>
      <c r="F192" s="4" t="s">
        <v>23</v>
      </c>
      <c r="G192" s="1">
        <f t="shared" si="10"/>
        <v>58</v>
      </c>
      <c r="H192" s="1"/>
      <c r="I192" s="1"/>
      <c r="J192" s="1"/>
      <c r="K192" s="1">
        <f t="shared" si="11"/>
        <v>52</v>
      </c>
      <c r="L192">
        <v>10</v>
      </c>
      <c r="M192">
        <v>4</v>
      </c>
      <c r="N192">
        <v>4</v>
      </c>
      <c r="O192">
        <v>8</v>
      </c>
      <c r="P192">
        <v>6</v>
      </c>
      <c r="Q192">
        <v>5</v>
      </c>
      <c r="R192">
        <v>5</v>
      </c>
      <c r="S192">
        <v>6</v>
      </c>
      <c r="T192">
        <v>3</v>
      </c>
      <c r="U192">
        <v>7</v>
      </c>
    </row>
    <row r="193" spans="1:32" ht="16" x14ac:dyDescent="0.2">
      <c r="A193" s="6">
        <v>21</v>
      </c>
      <c r="B193" s="7" t="s">
        <v>38</v>
      </c>
      <c r="C193" s="7" t="s">
        <v>39</v>
      </c>
      <c r="D193" s="1">
        <v>0.83</v>
      </c>
      <c r="E193" s="1">
        <v>10</v>
      </c>
      <c r="F193" s="4" t="s">
        <v>23</v>
      </c>
      <c r="G193" s="1">
        <f t="shared" si="10"/>
        <v>82</v>
      </c>
      <c r="H193" s="1"/>
      <c r="I193" s="1"/>
      <c r="J193" s="1"/>
      <c r="K193" s="1">
        <f t="shared" si="11"/>
        <v>80</v>
      </c>
      <c r="L193">
        <v>10</v>
      </c>
      <c r="M193">
        <v>7</v>
      </c>
      <c r="N193">
        <v>8</v>
      </c>
      <c r="O193">
        <v>8</v>
      </c>
      <c r="P193">
        <v>9</v>
      </c>
      <c r="Q193">
        <v>8</v>
      </c>
      <c r="R193">
        <v>6</v>
      </c>
      <c r="S193">
        <v>8</v>
      </c>
      <c r="T193">
        <v>9</v>
      </c>
      <c r="U193">
        <v>9</v>
      </c>
    </row>
    <row r="194" spans="1:32" ht="16" x14ac:dyDescent="0.2">
      <c r="A194" s="6">
        <v>22</v>
      </c>
      <c r="B194" s="7" t="s">
        <v>38</v>
      </c>
      <c r="C194" s="7" t="s">
        <v>39</v>
      </c>
      <c r="D194" s="1">
        <v>0.97</v>
      </c>
      <c r="E194" s="1">
        <v>18.668252079999998</v>
      </c>
      <c r="F194" s="4" t="s">
        <v>23</v>
      </c>
      <c r="G194" s="1">
        <f t="shared" ref="G194:G218" si="16">AVERAGE(L194:U194)*10</f>
        <v>100</v>
      </c>
      <c r="H194" s="1"/>
      <c r="I194" s="1"/>
      <c r="J194" s="1"/>
      <c r="K194" s="1">
        <f t="shared" ref="K194:K218" si="17">AVERAGE(Q194:U194)*10</f>
        <v>100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10</v>
      </c>
      <c r="T194">
        <v>10</v>
      </c>
      <c r="U194">
        <v>10</v>
      </c>
    </row>
    <row r="195" spans="1:32" ht="16" x14ac:dyDescent="0.2">
      <c r="A195" s="6">
        <v>1</v>
      </c>
      <c r="B195" s="6" t="s">
        <v>40</v>
      </c>
      <c r="C195" s="6"/>
      <c r="D195" s="1">
        <v>0.93</v>
      </c>
      <c r="E195" s="1">
        <v>4.7435897440000003</v>
      </c>
      <c r="F195" s="4" t="s">
        <v>23</v>
      </c>
      <c r="G195" s="1">
        <f t="shared" si="16"/>
        <v>20</v>
      </c>
      <c r="H195" s="1"/>
      <c r="I195" s="1"/>
      <c r="J195" s="1"/>
      <c r="K195" s="1">
        <f t="shared" si="17"/>
        <v>10</v>
      </c>
      <c r="L195">
        <v>10</v>
      </c>
      <c r="M195">
        <v>0</v>
      </c>
      <c r="N195">
        <v>0</v>
      </c>
      <c r="O195">
        <v>2</v>
      </c>
      <c r="P195">
        <v>3</v>
      </c>
      <c r="Q195">
        <v>2</v>
      </c>
      <c r="R195">
        <v>0</v>
      </c>
      <c r="S195">
        <v>0</v>
      </c>
      <c r="T195">
        <v>2</v>
      </c>
      <c r="U195">
        <v>1</v>
      </c>
      <c r="W195">
        <f>AVERAGE(L195:L208)*10</f>
        <v>100</v>
      </c>
      <c r="X195">
        <f t="shared" ref="X195:AF195" si="18">AVERAGE(M195:M208)*10</f>
        <v>27.142857142857146</v>
      </c>
      <c r="Y195">
        <f t="shared" si="18"/>
        <v>25.714285714285715</v>
      </c>
      <c r="Z195">
        <f t="shared" si="18"/>
        <v>28.571428571428573</v>
      </c>
      <c r="AA195">
        <f t="shared" si="18"/>
        <v>30.714285714285715</v>
      </c>
      <c r="AB195">
        <f t="shared" si="18"/>
        <v>27.857142857142854</v>
      </c>
      <c r="AC195">
        <f t="shared" si="18"/>
        <v>23.571428571428573</v>
      </c>
      <c r="AD195">
        <f t="shared" si="18"/>
        <v>24.285714285714285</v>
      </c>
      <c r="AE195">
        <f t="shared" si="18"/>
        <v>30.714285714285715</v>
      </c>
      <c r="AF195">
        <f t="shared" si="18"/>
        <v>29.285714285714285</v>
      </c>
    </row>
    <row r="196" spans="1:32" ht="16" x14ac:dyDescent="0.2">
      <c r="A196" s="6">
        <v>2</v>
      </c>
      <c r="B196" s="6" t="s">
        <v>40</v>
      </c>
      <c r="C196" s="6"/>
      <c r="D196" s="1">
        <v>1.66</v>
      </c>
      <c r="E196" s="1">
        <v>3.326732673</v>
      </c>
      <c r="F196" s="4" t="s">
        <v>23</v>
      </c>
      <c r="G196" s="1">
        <f t="shared" si="16"/>
        <v>11</v>
      </c>
      <c r="H196" s="1"/>
      <c r="I196" s="1"/>
      <c r="J196" s="1"/>
      <c r="K196" s="1">
        <f t="shared" si="17"/>
        <v>2</v>
      </c>
      <c r="L196">
        <v>10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32" ht="16" x14ac:dyDescent="0.2">
      <c r="A197" s="6">
        <v>3</v>
      </c>
      <c r="B197" s="6" t="s">
        <v>40</v>
      </c>
      <c r="C197" s="6"/>
      <c r="D197" s="1">
        <v>1.17</v>
      </c>
      <c r="E197" s="1">
        <v>6.1194029849999998</v>
      </c>
      <c r="F197" s="4" t="s">
        <v>23</v>
      </c>
      <c r="G197" s="1">
        <f t="shared" si="16"/>
        <v>100</v>
      </c>
      <c r="H197" s="1"/>
      <c r="I197" s="1"/>
      <c r="J197" s="1"/>
      <c r="K197" s="1">
        <f t="shared" si="17"/>
        <v>100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</row>
    <row r="198" spans="1:32" ht="16" x14ac:dyDescent="0.2">
      <c r="A198" s="6">
        <v>4</v>
      </c>
      <c r="B198" s="6" t="s">
        <v>40</v>
      </c>
      <c r="C198" s="6"/>
      <c r="D198" s="1">
        <v>0.98</v>
      </c>
      <c r="E198" s="1">
        <v>7.2853185600000003</v>
      </c>
      <c r="F198" s="4" t="s">
        <v>23</v>
      </c>
      <c r="G198" s="1">
        <f t="shared" si="16"/>
        <v>90</v>
      </c>
      <c r="H198" s="1"/>
      <c r="I198" s="1"/>
      <c r="J198" s="1"/>
      <c r="K198" s="1">
        <f t="shared" si="17"/>
        <v>94</v>
      </c>
      <c r="L198">
        <v>10</v>
      </c>
      <c r="M198">
        <v>10</v>
      </c>
      <c r="N198">
        <v>4</v>
      </c>
      <c r="O198">
        <v>9</v>
      </c>
      <c r="P198">
        <v>10</v>
      </c>
      <c r="Q198">
        <v>9</v>
      </c>
      <c r="R198">
        <v>10</v>
      </c>
      <c r="S198">
        <v>8</v>
      </c>
      <c r="T198">
        <v>10</v>
      </c>
      <c r="U198">
        <v>10</v>
      </c>
    </row>
    <row r="199" spans="1:32" ht="16" x14ac:dyDescent="0.2">
      <c r="A199" s="6">
        <v>5</v>
      </c>
      <c r="B199" s="6" t="s">
        <v>40</v>
      </c>
      <c r="C199" s="6"/>
      <c r="D199" s="1">
        <v>0.93</v>
      </c>
      <c r="E199" s="1">
        <v>6.1623376619999997</v>
      </c>
      <c r="F199" s="4" t="s">
        <v>23</v>
      </c>
      <c r="G199" s="1">
        <f t="shared" si="16"/>
        <v>46</v>
      </c>
      <c r="H199" s="1"/>
      <c r="I199" s="1"/>
      <c r="J199" s="1"/>
      <c r="K199" s="1">
        <f t="shared" si="17"/>
        <v>20</v>
      </c>
      <c r="L199">
        <v>10</v>
      </c>
      <c r="M199">
        <v>7</v>
      </c>
      <c r="N199">
        <v>8</v>
      </c>
      <c r="O199">
        <v>6</v>
      </c>
      <c r="P199">
        <v>5</v>
      </c>
      <c r="Q199">
        <v>2</v>
      </c>
      <c r="R199">
        <v>2</v>
      </c>
      <c r="S199">
        <v>2</v>
      </c>
      <c r="T199">
        <v>2</v>
      </c>
      <c r="U199">
        <v>2</v>
      </c>
    </row>
    <row r="200" spans="1:32" ht="16" x14ac:dyDescent="0.2">
      <c r="A200" s="6">
        <v>6</v>
      </c>
      <c r="B200" s="6" t="s">
        <v>40</v>
      </c>
      <c r="C200" s="6"/>
      <c r="D200" s="1">
        <v>1.03</v>
      </c>
      <c r="E200" s="1">
        <v>2.9696969700000002</v>
      </c>
      <c r="F200" s="4" t="s">
        <v>23</v>
      </c>
      <c r="G200" s="1">
        <f t="shared" si="16"/>
        <v>61</v>
      </c>
      <c r="H200" s="1"/>
      <c r="I200" s="1"/>
      <c r="J200" s="1"/>
      <c r="K200" s="1">
        <f t="shared" si="17"/>
        <v>56</v>
      </c>
      <c r="L200">
        <v>10</v>
      </c>
      <c r="M200">
        <v>9</v>
      </c>
      <c r="N200">
        <v>2</v>
      </c>
      <c r="O200">
        <v>6</v>
      </c>
      <c r="P200">
        <v>6</v>
      </c>
      <c r="Q200">
        <v>4</v>
      </c>
      <c r="R200">
        <v>6</v>
      </c>
      <c r="S200">
        <v>4</v>
      </c>
      <c r="T200">
        <v>7</v>
      </c>
      <c r="U200">
        <v>7</v>
      </c>
    </row>
    <row r="201" spans="1:32" ht="16" x14ac:dyDescent="0.2">
      <c r="A201" s="6">
        <v>7</v>
      </c>
      <c r="B201" s="6" t="s">
        <v>40</v>
      </c>
      <c r="C201" s="6"/>
      <c r="D201" s="1">
        <v>0.9</v>
      </c>
      <c r="E201" s="1">
        <v>4.8955613580000001</v>
      </c>
      <c r="F201" s="4" t="s">
        <v>23</v>
      </c>
      <c r="G201" s="1">
        <f t="shared" si="16"/>
        <v>10</v>
      </c>
      <c r="H201" s="1"/>
      <c r="I201" s="1"/>
      <c r="J201" s="1"/>
      <c r="K201" s="1">
        <f t="shared" si="17"/>
        <v>0</v>
      </c>
      <c r="L201">
        <v>10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32" ht="16" x14ac:dyDescent="0.2">
      <c r="A202" s="6">
        <v>8</v>
      </c>
      <c r="B202" s="6" t="s">
        <v>40</v>
      </c>
      <c r="C202" s="6"/>
      <c r="D202" s="1">
        <v>0.88</v>
      </c>
      <c r="E202" s="1">
        <v>12.488687779999999</v>
      </c>
      <c r="F202" s="4" t="s">
        <v>23</v>
      </c>
      <c r="G202" s="1">
        <f t="shared" si="16"/>
        <v>32</v>
      </c>
      <c r="H202" s="1"/>
      <c r="I202" s="1"/>
      <c r="J202" s="1"/>
      <c r="K202" s="1">
        <f t="shared" si="17"/>
        <v>22</v>
      </c>
      <c r="L202">
        <v>10</v>
      </c>
      <c r="M202">
        <v>1</v>
      </c>
      <c r="N202">
        <v>5</v>
      </c>
      <c r="O202">
        <v>2</v>
      </c>
      <c r="P202">
        <v>3</v>
      </c>
      <c r="Q202">
        <v>4</v>
      </c>
      <c r="R202">
        <v>1</v>
      </c>
      <c r="S202">
        <v>1</v>
      </c>
      <c r="T202">
        <v>2</v>
      </c>
      <c r="U202">
        <v>3</v>
      </c>
    </row>
    <row r="203" spans="1:32" ht="16" x14ac:dyDescent="0.2">
      <c r="A203" s="6">
        <v>9</v>
      </c>
      <c r="B203" s="6" t="s">
        <v>40</v>
      </c>
      <c r="C203" s="6"/>
      <c r="D203" s="1">
        <v>1.66</v>
      </c>
      <c r="E203" s="1">
        <v>6.0960334029999999</v>
      </c>
      <c r="F203" s="4" t="s">
        <v>23</v>
      </c>
      <c r="G203" s="1">
        <f t="shared" si="16"/>
        <v>20</v>
      </c>
      <c r="H203" s="1"/>
      <c r="I203" s="1"/>
      <c r="J203" s="1"/>
      <c r="K203" s="1">
        <f t="shared" si="17"/>
        <v>16</v>
      </c>
      <c r="L203">
        <v>10</v>
      </c>
      <c r="M203">
        <v>0</v>
      </c>
      <c r="N203">
        <v>1</v>
      </c>
      <c r="O203">
        <v>1</v>
      </c>
      <c r="P203">
        <v>0</v>
      </c>
      <c r="Q203">
        <v>2</v>
      </c>
      <c r="R203">
        <v>1</v>
      </c>
      <c r="S203">
        <v>2</v>
      </c>
      <c r="T203">
        <v>3</v>
      </c>
      <c r="U203">
        <v>0</v>
      </c>
    </row>
    <row r="204" spans="1:32" ht="16" x14ac:dyDescent="0.2">
      <c r="A204" s="6">
        <v>10</v>
      </c>
      <c r="B204" s="6" t="s">
        <v>40</v>
      </c>
      <c r="C204" s="6"/>
      <c r="D204" s="1">
        <v>1.19</v>
      </c>
      <c r="E204" s="1">
        <v>8.6776859500000008</v>
      </c>
      <c r="F204" s="4" t="s">
        <v>23</v>
      </c>
      <c r="G204" s="1">
        <f t="shared" si="16"/>
        <v>25</v>
      </c>
      <c r="H204" s="1"/>
      <c r="I204" s="1"/>
      <c r="J204" s="1"/>
      <c r="K204" s="1">
        <f t="shared" si="17"/>
        <v>14</v>
      </c>
      <c r="L204">
        <v>10</v>
      </c>
      <c r="M204">
        <v>0</v>
      </c>
      <c r="N204">
        <v>5</v>
      </c>
      <c r="O204">
        <v>2</v>
      </c>
      <c r="P204">
        <v>1</v>
      </c>
      <c r="Q204">
        <v>2</v>
      </c>
      <c r="R204">
        <v>1</v>
      </c>
      <c r="S204">
        <v>0</v>
      </c>
      <c r="T204">
        <v>1</v>
      </c>
      <c r="U204">
        <v>3</v>
      </c>
    </row>
    <row r="205" spans="1:32" ht="16" x14ac:dyDescent="0.2">
      <c r="A205" s="6">
        <v>11</v>
      </c>
      <c r="B205" s="6" t="s">
        <v>40</v>
      </c>
      <c r="C205" s="6"/>
      <c r="D205" s="1">
        <v>1.33</v>
      </c>
      <c r="E205" s="1">
        <v>8.4753363230000005</v>
      </c>
      <c r="F205" s="4" t="s">
        <v>23</v>
      </c>
      <c r="G205" s="1">
        <f t="shared" si="16"/>
        <v>16</v>
      </c>
      <c r="H205" s="1"/>
      <c r="I205" s="1"/>
      <c r="J205" s="1"/>
      <c r="K205" s="1">
        <f t="shared" si="17"/>
        <v>12</v>
      </c>
      <c r="L205">
        <v>10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2</v>
      </c>
      <c r="T205">
        <v>2</v>
      </c>
      <c r="U205">
        <v>0</v>
      </c>
    </row>
    <row r="206" spans="1:32" ht="16" x14ac:dyDescent="0.2">
      <c r="A206" s="6">
        <v>12</v>
      </c>
      <c r="B206" s="6" t="s">
        <v>40</v>
      </c>
      <c r="C206" s="6"/>
      <c r="D206" s="1">
        <v>1.05</v>
      </c>
      <c r="E206" s="1">
        <v>6.4913793100000001</v>
      </c>
      <c r="F206" s="4" t="s">
        <v>23</v>
      </c>
      <c r="G206" s="1">
        <f t="shared" si="16"/>
        <v>31</v>
      </c>
      <c r="H206" s="1"/>
      <c r="I206" s="1"/>
      <c r="J206" s="1"/>
      <c r="K206" s="1">
        <f t="shared" si="17"/>
        <v>26</v>
      </c>
      <c r="L206">
        <v>10</v>
      </c>
      <c r="M206">
        <v>1</v>
      </c>
      <c r="N206">
        <v>0</v>
      </c>
      <c r="O206">
        <v>2</v>
      </c>
      <c r="P206">
        <v>5</v>
      </c>
      <c r="Q206">
        <v>2</v>
      </c>
      <c r="R206">
        <v>0</v>
      </c>
      <c r="S206">
        <v>5</v>
      </c>
      <c r="T206">
        <v>2</v>
      </c>
      <c r="U206">
        <v>4</v>
      </c>
    </row>
    <row r="207" spans="1:32" ht="16" x14ac:dyDescent="0.2">
      <c r="A207" s="6">
        <v>13</v>
      </c>
      <c r="B207" s="6" t="s">
        <v>40</v>
      </c>
      <c r="C207" s="6"/>
      <c r="D207" s="1">
        <v>1.1399999999999999</v>
      </c>
      <c r="E207" s="1">
        <v>1.9760765549999999</v>
      </c>
      <c r="F207" s="4" t="s">
        <v>23</v>
      </c>
      <c r="G207" s="1">
        <f t="shared" si="16"/>
        <v>13</v>
      </c>
      <c r="H207" s="1"/>
      <c r="I207" s="1"/>
      <c r="J207" s="1"/>
      <c r="K207" s="1">
        <f t="shared" si="17"/>
        <v>4</v>
      </c>
      <c r="L207">
        <v>10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</row>
    <row r="208" spans="1:32" ht="16" x14ac:dyDescent="0.2">
      <c r="A208" s="6">
        <v>14</v>
      </c>
      <c r="B208" s="6" t="s">
        <v>40</v>
      </c>
      <c r="C208" s="6"/>
      <c r="D208" s="1">
        <v>0.96</v>
      </c>
      <c r="E208" s="1">
        <v>10.948275860000001</v>
      </c>
      <c r="F208" s="4" t="s">
        <v>23</v>
      </c>
      <c r="G208" s="1">
        <f t="shared" si="16"/>
        <v>12</v>
      </c>
      <c r="H208" s="1"/>
      <c r="I208" s="1"/>
      <c r="J208" s="1"/>
      <c r="K208" s="1">
        <f t="shared" si="17"/>
        <v>4</v>
      </c>
      <c r="L208">
        <v>10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</row>
    <row r="209" spans="1:32" ht="16" x14ac:dyDescent="0.2">
      <c r="A209" s="6">
        <v>1</v>
      </c>
      <c r="B209" s="6" t="s">
        <v>41</v>
      </c>
      <c r="C209" s="6"/>
      <c r="D209" s="1">
        <v>1.26</v>
      </c>
      <c r="E209" s="1">
        <v>0.13432835800000001</v>
      </c>
      <c r="F209" s="4" t="s">
        <v>23</v>
      </c>
      <c r="G209" s="1">
        <f t="shared" si="16"/>
        <v>1</v>
      </c>
      <c r="H209" s="1"/>
      <c r="I209" s="1"/>
      <c r="J209" s="1"/>
      <c r="K209" s="1">
        <f t="shared" si="17"/>
        <v>0</v>
      </c>
      <c r="L209" s="1">
        <v>1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W209">
        <f>AVERAGE(L209:L218)*10</f>
        <v>31</v>
      </c>
      <c r="X209">
        <f t="shared" ref="X209:AF209" si="19">AVERAGE(M209:M218)*10</f>
        <v>10</v>
      </c>
      <c r="Y209">
        <f t="shared" si="19"/>
        <v>5</v>
      </c>
      <c r="Z209">
        <f t="shared" si="19"/>
        <v>5</v>
      </c>
      <c r="AA209">
        <f t="shared" si="19"/>
        <v>5</v>
      </c>
      <c r="AB209">
        <f t="shared" si="19"/>
        <v>3</v>
      </c>
      <c r="AC209">
        <f t="shared" si="19"/>
        <v>2</v>
      </c>
      <c r="AD209">
        <f t="shared" si="19"/>
        <v>2</v>
      </c>
      <c r="AE209">
        <f t="shared" si="19"/>
        <v>0</v>
      </c>
      <c r="AF209">
        <f t="shared" si="19"/>
        <v>0</v>
      </c>
    </row>
    <row r="210" spans="1:32" ht="16" x14ac:dyDescent="0.2">
      <c r="A210" s="6">
        <v>2</v>
      </c>
      <c r="B210" s="6" t="s">
        <v>41</v>
      </c>
      <c r="C210" s="6"/>
      <c r="D210" s="1">
        <v>0</v>
      </c>
      <c r="E210" s="1">
        <v>0</v>
      </c>
      <c r="F210" s="4" t="s">
        <v>23</v>
      </c>
      <c r="G210" s="1">
        <f t="shared" si="16"/>
        <v>0</v>
      </c>
      <c r="H210" s="1"/>
      <c r="I210" s="1"/>
      <c r="J210" s="1"/>
      <c r="K210" s="1">
        <f t="shared" si="17"/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32" ht="16" x14ac:dyDescent="0.2">
      <c r="A211" s="6">
        <v>3</v>
      </c>
      <c r="B211" s="6" t="s">
        <v>41</v>
      </c>
      <c r="C211" s="6"/>
      <c r="D211" s="1">
        <v>0</v>
      </c>
      <c r="E211" s="1">
        <v>2.7149321000000001E-2</v>
      </c>
      <c r="F211" s="4" t="s">
        <v>23</v>
      </c>
      <c r="G211" s="1">
        <f t="shared" si="16"/>
        <v>0</v>
      </c>
      <c r="H211" s="1"/>
      <c r="I211" s="1"/>
      <c r="J211" s="1"/>
      <c r="K211" s="1">
        <f t="shared" si="17"/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32" ht="16" x14ac:dyDescent="0.2">
      <c r="A212" s="6">
        <v>4</v>
      </c>
      <c r="B212" s="6" t="s">
        <v>41</v>
      </c>
      <c r="C212" s="6"/>
      <c r="D212" s="1">
        <v>0</v>
      </c>
      <c r="E212" s="1">
        <v>0.44444444399999999</v>
      </c>
      <c r="F212" s="4" t="s">
        <v>23</v>
      </c>
      <c r="G212" s="1">
        <f t="shared" si="16"/>
        <v>0</v>
      </c>
      <c r="H212" s="1"/>
      <c r="I212" s="1"/>
      <c r="J212" s="1"/>
      <c r="K212" s="1">
        <f t="shared" si="17"/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32" ht="16" x14ac:dyDescent="0.2">
      <c r="A213" s="6">
        <v>5</v>
      </c>
      <c r="B213" s="6" t="s">
        <v>41</v>
      </c>
      <c r="C213" s="6"/>
      <c r="D213" s="1">
        <v>1.2</v>
      </c>
      <c r="E213" s="1">
        <v>1.6666667E-2</v>
      </c>
      <c r="F213" s="4" t="s">
        <v>23</v>
      </c>
      <c r="G213" s="1">
        <f t="shared" si="16"/>
        <v>13</v>
      </c>
      <c r="H213" s="1"/>
      <c r="I213" s="1"/>
      <c r="J213" s="1"/>
      <c r="K213" s="1">
        <f t="shared" si="17"/>
        <v>0</v>
      </c>
      <c r="L213">
        <v>10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32" ht="16" x14ac:dyDescent="0.2">
      <c r="A214" s="6">
        <v>6</v>
      </c>
      <c r="B214" s="6" t="s">
        <v>41</v>
      </c>
      <c r="C214" s="6"/>
      <c r="D214" s="1">
        <v>1.1399999999999999</v>
      </c>
      <c r="E214" s="1">
        <v>2.3178807999999999E-2</v>
      </c>
      <c r="F214" s="4" t="s">
        <v>23</v>
      </c>
      <c r="G214" s="1">
        <f t="shared" si="16"/>
        <v>39</v>
      </c>
      <c r="H214" s="1"/>
      <c r="I214" s="1"/>
      <c r="J214" s="1"/>
      <c r="K214" s="1">
        <f t="shared" si="17"/>
        <v>14</v>
      </c>
      <c r="L214">
        <v>10</v>
      </c>
      <c r="M214">
        <v>7</v>
      </c>
      <c r="N214">
        <v>5</v>
      </c>
      <c r="O214">
        <v>5</v>
      </c>
      <c r="P214">
        <v>5</v>
      </c>
      <c r="Q214">
        <v>3</v>
      </c>
      <c r="R214">
        <v>2</v>
      </c>
      <c r="S214">
        <v>2</v>
      </c>
      <c r="T214">
        <v>0</v>
      </c>
      <c r="U214">
        <v>0</v>
      </c>
    </row>
    <row r="215" spans="1:32" ht="16" x14ac:dyDescent="0.2">
      <c r="A215" s="6">
        <v>7</v>
      </c>
      <c r="B215" s="6" t="s">
        <v>41</v>
      </c>
      <c r="C215" s="6"/>
      <c r="D215" s="1">
        <v>0</v>
      </c>
      <c r="E215" s="1">
        <v>8.2644629999999997E-3</v>
      </c>
      <c r="F215" s="4" t="s">
        <v>23</v>
      </c>
      <c r="G215" s="1">
        <f t="shared" si="16"/>
        <v>0</v>
      </c>
      <c r="H215" s="1"/>
      <c r="I215" s="1"/>
      <c r="J215" s="1"/>
      <c r="K215" s="1">
        <f t="shared" si="17"/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</row>
    <row r="216" spans="1:32" ht="16" x14ac:dyDescent="0.2">
      <c r="A216" s="6">
        <v>8</v>
      </c>
      <c r="B216" s="6" t="s">
        <v>41</v>
      </c>
      <c r="C216" s="6"/>
      <c r="D216" s="1">
        <v>0</v>
      </c>
      <c r="E216" s="1">
        <v>0.16617210700000001</v>
      </c>
      <c r="F216" s="4" t="s">
        <v>23</v>
      </c>
      <c r="G216" s="1">
        <f t="shared" si="16"/>
        <v>0</v>
      </c>
      <c r="H216" s="1"/>
      <c r="I216" s="1"/>
      <c r="J216" s="1"/>
      <c r="K216" s="1">
        <f t="shared" si="17"/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</row>
    <row r="217" spans="1:32" ht="16" x14ac:dyDescent="0.2">
      <c r="A217" s="6">
        <v>9</v>
      </c>
      <c r="B217" s="6" t="s">
        <v>41</v>
      </c>
      <c r="C217" s="6"/>
      <c r="D217" s="1">
        <v>0</v>
      </c>
      <c r="E217" s="1">
        <v>0.13</v>
      </c>
      <c r="F217" s="4" t="s">
        <v>23</v>
      </c>
      <c r="G217" s="1">
        <f t="shared" si="16"/>
        <v>0</v>
      </c>
      <c r="H217" s="1"/>
      <c r="I217" s="1"/>
      <c r="J217" s="1"/>
      <c r="K217" s="1">
        <f t="shared" si="17"/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</row>
    <row r="218" spans="1:32" ht="16" x14ac:dyDescent="0.2">
      <c r="A218" s="6">
        <v>10</v>
      </c>
      <c r="B218" s="6" t="s">
        <v>41</v>
      </c>
      <c r="C218" s="6"/>
      <c r="D218" s="1">
        <v>1.39</v>
      </c>
      <c r="E218" s="1">
        <v>9.375E-2</v>
      </c>
      <c r="F218" s="4" t="s">
        <v>23</v>
      </c>
      <c r="G218" s="1">
        <f t="shared" si="16"/>
        <v>10</v>
      </c>
      <c r="H218" s="1"/>
      <c r="I218" s="1"/>
      <c r="J218" s="1"/>
      <c r="K218" s="1">
        <f t="shared" si="17"/>
        <v>0</v>
      </c>
      <c r="L218">
        <v>10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32" ht="15" customHeight="1" x14ac:dyDescent="0.2">
      <c r="A219" s="11">
        <v>1</v>
      </c>
      <c r="B219" s="11" t="s">
        <v>54</v>
      </c>
      <c r="C219" s="11" t="s">
        <v>54</v>
      </c>
      <c r="D219" s="1">
        <v>0.83</v>
      </c>
      <c r="E219">
        <v>7.6150229885057499</v>
      </c>
      <c r="F219" s="4" t="s">
        <v>20</v>
      </c>
      <c r="G219">
        <v>100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10</v>
      </c>
      <c r="S219">
        <v>10</v>
      </c>
      <c r="T219">
        <v>10</v>
      </c>
      <c r="U219">
        <v>10</v>
      </c>
      <c r="W219">
        <f>AVERAGE(L219:L230)*10</f>
        <v>100</v>
      </c>
      <c r="X219">
        <f t="shared" ref="X219:AF219" si="20">AVERAGE(M219:M230)*10</f>
        <v>100</v>
      </c>
      <c r="Y219">
        <f t="shared" si="20"/>
        <v>100</v>
      </c>
      <c r="Z219">
        <f t="shared" si="20"/>
        <v>99.583333333333343</v>
      </c>
      <c r="AA219">
        <f t="shared" si="20"/>
        <v>100</v>
      </c>
      <c r="AB219">
        <f t="shared" si="20"/>
        <v>100</v>
      </c>
      <c r="AC219">
        <f t="shared" si="20"/>
        <v>100</v>
      </c>
      <c r="AD219">
        <f t="shared" si="20"/>
        <v>99.583333333333343</v>
      </c>
      <c r="AE219">
        <f t="shared" si="20"/>
        <v>100</v>
      </c>
      <c r="AF219">
        <f t="shared" si="20"/>
        <v>99.583333333333343</v>
      </c>
    </row>
    <row r="220" spans="1:32" ht="15" customHeight="1" x14ac:dyDescent="0.2">
      <c r="A220" s="11">
        <v>2</v>
      </c>
      <c r="B220" s="11" t="s">
        <v>54</v>
      </c>
      <c r="C220" s="11" t="s">
        <v>54</v>
      </c>
      <c r="D220">
        <f>AVERAGE(0.9,0.71)</f>
        <v>0.80499999999999994</v>
      </c>
      <c r="E220">
        <v>10.242718446602</v>
      </c>
      <c r="F220" s="4" t="s">
        <v>20</v>
      </c>
      <c r="G220">
        <v>98.5</v>
      </c>
      <c r="L220">
        <v>10</v>
      </c>
      <c r="M220">
        <v>10</v>
      </c>
      <c r="N220">
        <v>10</v>
      </c>
      <c r="O220">
        <v>9.5</v>
      </c>
      <c r="P220">
        <v>10</v>
      </c>
      <c r="Q220">
        <v>10</v>
      </c>
      <c r="R220">
        <v>10</v>
      </c>
      <c r="S220">
        <v>9.5</v>
      </c>
      <c r="T220">
        <v>10</v>
      </c>
      <c r="U220">
        <v>9.5</v>
      </c>
    </row>
    <row r="221" spans="1:32" ht="15" customHeight="1" x14ac:dyDescent="0.2">
      <c r="A221" s="11">
        <v>3</v>
      </c>
      <c r="B221" s="11" t="s">
        <v>54</v>
      </c>
      <c r="C221" s="11" t="s">
        <v>54</v>
      </c>
      <c r="D221">
        <f>AVERAGE(0.9,0.8)</f>
        <v>0.85000000000000009</v>
      </c>
      <c r="E221">
        <v>8.1419213973798996</v>
      </c>
      <c r="F221" s="4" t="s">
        <v>20</v>
      </c>
      <c r="G221">
        <v>100</v>
      </c>
      <c r="L221">
        <v>10</v>
      </c>
      <c r="M221">
        <v>10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</row>
    <row r="222" spans="1:32" ht="15" customHeight="1" x14ac:dyDescent="0.2">
      <c r="A222" s="11">
        <v>4</v>
      </c>
      <c r="B222" s="11" t="s">
        <v>54</v>
      </c>
      <c r="C222" s="11" t="s">
        <v>54</v>
      </c>
      <c r="D222">
        <f>AVERAGE(0.94,0.8)</f>
        <v>0.87</v>
      </c>
      <c r="E222">
        <v>8.7866451612903198</v>
      </c>
      <c r="F222" s="4" t="s">
        <v>20</v>
      </c>
      <c r="G222">
        <v>100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</row>
    <row r="223" spans="1:32" ht="15" customHeight="1" x14ac:dyDescent="0.2">
      <c r="A223" s="11">
        <v>5</v>
      </c>
      <c r="B223" s="11" t="s">
        <v>54</v>
      </c>
      <c r="C223" s="11" t="s">
        <v>54</v>
      </c>
      <c r="D223">
        <v>0.84</v>
      </c>
      <c r="E223">
        <v>10.002531645569601</v>
      </c>
      <c r="F223" s="4" t="s">
        <v>20</v>
      </c>
      <c r="G223">
        <v>100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10</v>
      </c>
      <c r="U223">
        <v>10</v>
      </c>
    </row>
    <row r="224" spans="1:32" ht="15" customHeight="1" x14ac:dyDescent="0.2">
      <c r="A224" s="11">
        <v>6</v>
      </c>
      <c r="B224" s="11" t="s">
        <v>54</v>
      </c>
      <c r="C224" s="11" t="s">
        <v>54</v>
      </c>
      <c r="D224">
        <v>0.93</v>
      </c>
      <c r="E224">
        <v>9.1586456250000001</v>
      </c>
      <c r="F224" s="4" t="s">
        <v>20</v>
      </c>
      <c r="G224">
        <v>100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</row>
    <row r="225" spans="1:21" ht="15" customHeight="1" x14ac:dyDescent="0.2">
      <c r="A225" s="11">
        <v>7</v>
      </c>
      <c r="B225" s="11" t="s">
        <v>54</v>
      </c>
      <c r="C225" s="11" t="s">
        <v>54</v>
      </c>
      <c r="D225">
        <f>AVERAGE(0.99,0.9)</f>
        <v>0.94500000000000006</v>
      </c>
      <c r="E225">
        <v>8.2454793103448303</v>
      </c>
      <c r="F225" s="4" t="s">
        <v>20</v>
      </c>
      <c r="G225">
        <v>100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10</v>
      </c>
    </row>
    <row r="226" spans="1:21" ht="15" customHeight="1" x14ac:dyDescent="0.2">
      <c r="A226" s="11">
        <v>8</v>
      </c>
      <c r="B226" s="11" t="s">
        <v>54</v>
      </c>
      <c r="C226" s="11" t="s">
        <v>54</v>
      </c>
      <c r="D226">
        <f>AVERAGE(0.9,0.8)</f>
        <v>0.85000000000000009</v>
      </c>
      <c r="E226">
        <v>7.1258344370860902</v>
      </c>
      <c r="F226" s="4" t="s">
        <v>20</v>
      </c>
      <c r="G226">
        <v>100</v>
      </c>
      <c r="L226">
        <v>10</v>
      </c>
      <c r="M226">
        <v>10</v>
      </c>
      <c r="N226">
        <v>10</v>
      </c>
      <c r="O226">
        <v>10</v>
      </c>
      <c r="P226">
        <v>10</v>
      </c>
      <c r="Q226">
        <v>10</v>
      </c>
      <c r="R226">
        <v>10</v>
      </c>
      <c r="S226">
        <v>10</v>
      </c>
      <c r="T226">
        <v>10</v>
      </c>
      <c r="U226">
        <v>10</v>
      </c>
    </row>
    <row r="227" spans="1:21" ht="15" customHeight="1" x14ac:dyDescent="0.2">
      <c r="A227" s="14">
        <v>9</v>
      </c>
      <c r="B227" s="11" t="s">
        <v>54</v>
      </c>
      <c r="C227" s="11" t="s">
        <v>54</v>
      </c>
      <c r="D227" s="13">
        <f>AVERAGE(0.99,0.76)</f>
        <v>0.875</v>
      </c>
      <c r="E227">
        <v>9.4545241635688004</v>
      </c>
      <c r="F227" s="4" t="s">
        <v>20</v>
      </c>
      <c r="G227">
        <v>100</v>
      </c>
      <c r="H227" s="13"/>
      <c r="I227" s="13"/>
      <c r="J227" s="13"/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</row>
    <row r="228" spans="1:21" ht="15" customHeight="1" x14ac:dyDescent="0.2">
      <c r="A228" s="14">
        <v>10</v>
      </c>
      <c r="B228" s="11" t="s">
        <v>54</v>
      </c>
      <c r="C228" s="11" t="s">
        <v>54</v>
      </c>
      <c r="D228" s="13">
        <f>AVERAGE(0.89,0.79)</f>
        <v>0.84000000000000008</v>
      </c>
      <c r="E228">
        <v>7.0006816129032003</v>
      </c>
      <c r="F228" s="4" t="s">
        <v>20</v>
      </c>
      <c r="G228">
        <v>100</v>
      </c>
      <c r="H228" s="13"/>
      <c r="I228" s="13"/>
      <c r="J228" s="13"/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</row>
    <row r="229" spans="1:21" ht="15" customHeight="1" x14ac:dyDescent="0.2">
      <c r="A229" s="14">
        <v>11</v>
      </c>
      <c r="B229" s="11" t="s">
        <v>54</v>
      </c>
      <c r="C229" s="11" t="s">
        <v>54</v>
      </c>
      <c r="D229" s="13">
        <v>0.79</v>
      </c>
      <c r="E229">
        <v>8.5100566633397996</v>
      </c>
      <c r="F229" s="4" t="s">
        <v>20</v>
      </c>
      <c r="G229">
        <v>101</v>
      </c>
      <c r="H229" s="13"/>
      <c r="I229" s="13"/>
      <c r="J229" s="13"/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</row>
    <row r="230" spans="1:21" ht="15" customHeight="1" x14ac:dyDescent="0.2">
      <c r="A230" s="14">
        <v>12</v>
      </c>
      <c r="B230" s="11" t="s">
        <v>54</v>
      </c>
      <c r="C230" s="11" t="s">
        <v>54</v>
      </c>
      <c r="D230">
        <v>0.8</v>
      </c>
      <c r="E230">
        <v>9.8494491984889994</v>
      </c>
      <c r="F230" s="4" t="s">
        <v>20</v>
      </c>
      <c r="G230">
        <v>102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</row>
    <row r="231" spans="1:21" ht="15" customHeight="1" x14ac:dyDescent="0.2">
      <c r="A231" s="13"/>
      <c r="B231" s="13"/>
      <c r="C231" s="13"/>
    </row>
    <row r="232" spans="1:21" ht="15" customHeight="1" x14ac:dyDescent="0.2">
      <c r="A232" s="13"/>
      <c r="B232" s="13"/>
      <c r="C232" s="13"/>
    </row>
    <row r="233" spans="1:21" ht="15" customHeight="1" x14ac:dyDescent="0.2">
      <c r="A233" s="13"/>
      <c r="B233" s="13"/>
      <c r="C233" s="13"/>
    </row>
    <row r="234" spans="1:21" ht="15" customHeight="1" x14ac:dyDescent="0.2">
      <c r="A234" s="13"/>
      <c r="B234" s="13"/>
      <c r="C234" s="13"/>
    </row>
    <row r="235" spans="1:21" ht="15" customHeight="1" x14ac:dyDescent="0.2">
      <c r="A235" s="13"/>
      <c r="B235" s="13"/>
      <c r="C235" s="13"/>
    </row>
    <row r="236" spans="1:21" ht="15" customHeight="1" x14ac:dyDescent="0.2">
      <c r="A236" s="13"/>
      <c r="B236" s="13"/>
      <c r="C236" s="13"/>
    </row>
    <row r="237" spans="1:21" ht="15" customHeight="1" x14ac:dyDescent="0.2">
      <c r="A237" s="13"/>
      <c r="B237" s="13"/>
      <c r="C237" s="13"/>
    </row>
    <row r="241" spans="8:22" ht="15" customHeight="1" x14ac:dyDescent="0.2">
      <c r="H241" s="13"/>
    </row>
    <row r="242" spans="8:22" ht="15" customHeight="1" x14ac:dyDescent="0.2">
      <c r="H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 spans="8:22" ht="15" customHeight="1" x14ac:dyDescent="0.2">
      <c r="H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 spans="8:22" ht="15" customHeight="1" x14ac:dyDescent="0.2">
      <c r="H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 spans="8:22" ht="15" customHeight="1" x14ac:dyDescent="0.2">
      <c r="H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 spans="8:22" ht="15" customHeight="1" x14ac:dyDescent="0.2">
      <c r="H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 spans="8:22" ht="15" customHeight="1" x14ac:dyDescent="0.2">
      <c r="H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 spans="8:22" ht="15" customHeight="1" x14ac:dyDescent="0.2">
      <c r="H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 spans="8:22" ht="15" customHeight="1" x14ac:dyDescent="0.2"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</sheetData>
  <phoneticPr fontId="7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AF5B-926E-A242-8F26-A1D9A048CF18}">
  <dimension ref="A1:O15"/>
  <sheetViews>
    <sheetView workbookViewId="0">
      <selection activeCell="B20" sqref="B20"/>
    </sheetView>
  </sheetViews>
  <sheetFormatPr baseColWidth="10" defaultRowHeight="15" x14ac:dyDescent="0.2"/>
  <cols>
    <col min="1" max="1" width="32.5" customWidth="1"/>
    <col min="2" max="2" width="32.5" style="18" customWidth="1"/>
    <col min="3" max="3" width="11.1640625" customWidth="1"/>
    <col min="4" max="4" width="11.5" customWidth="1"/>
    <col min="5" max="15" width="12" customWidth="1"/>
  </cols>
  <sheetData>
    <row r="1" spans="1:15" ht="45" x14ac:dyDescent="0.2">
      <c r="A1" s="19"/>
      <c r="B1" s="21" t="s">
        <v>74</v>
      </c>
      <c r="C1" s="20" t="s">
        <v>56</v>
      </c>
      <c r="D1" s="20" t="s">
        <v>57</v>
      </c>
      <c r="E1" s="20" t="s">
        <v>59</v>
      </c>
      <c r="F1" s="20" t="s">
        <v>60</v>
      </c>
      <c r="G1" s="20" t="s">
        <v>61</v>
      </c>
      <c r="H1" s="20" t="s">
        <v>62</v>
      </c>
      <c r="I1" s="20" t="s">
        <v>63</v>
      </c>
      <c r="J1" s="20" t="s">
        <v>64</v>
      </c>
      <c r="K1" s="20" t="s">
        <v>65</v>
      </c>
      <c r="L1" s="20" t="s">
        <v>58</v>
      </c>
      <c r="M1" s="12"/>
      <c r="N1" s="12"/>
      <c r="O1" s="12"/>
    </row>
    <row r="2" spans="1:15" ht="16" x14ac:dyDescent="0.2">
      <c r="A2" s="12" t="s">
        <v>18</v>
      </c>
      <c r="B2" s="12" t="s">
        <v>67</v>
      </c>
      <c r="C2">
        <v>100</v>
      </c>
      <c r="D2">
        <v>98.75</v>
      </c>
      <c r="E2">
        <v>98.75</v>
      </c>
      <c r="F2">
        <v>97.5</v>
      </c>
      <c r="G2">
        <v>98.75</v>
      </c>
      <c r="H2">
        <v>97.5</v>
      </c>
      <c r="I2">
        <v>97.5</v>
      </c>
      <c r="J2">
        <v>97.5</v>
      </c>
      <c r="K2">
        <v>96.25</v>
      </c>
      <c r="L2">
        <v>100</v>
      </c>
    </row>
    <row r="3" spans="1:15" ht="16" x14ac:dyDescent="0.2">
      <c r="A3" s="15" t="s">
        <v>21</v>
      </c>
      <c r="B3" s="12" t="s">
        <v>68</v>
      </c>
      <c r="C3">
        <v>91.714285714285708</v>
      </c>
      <c r="D3">
        <v>76.285714285714292</v>
      </c>
      <c r="E3">
        <v>65.142857142857139</v>
      </c>
      <c r="F3">
        <v>63.428571428571423</v>
      </c>
      <c r="G3">
        <v>61.714285714285715</v>
      </c>
      <c r="H3">
        <v>58.857142857142861</v>
      </c>
      <c r="I3">
        <v>60</v>
      </c>
      <c r="J3">
        <v>59.142857142857146</v>
      </c>
      <c r="K3">
        <v>56</v>
      </c>
      <c r="L3">
        <v>54</v>
      </c>
    </row>
    <row r="4" spans="1:15" ht="16" x14ac:dyDescent="0.2">
      <c r="A4" s="15" t="s">
        <v>24</v>
      </c>
      <c r="B4" s="12" t="s">
        <v>69</v>
      </c>
      <c r="C4">
        <v>99.73684210526315</v>
      </c>
      <c r="D4">
        <v>89.73684210526315</v>
      </c>
      <c r="E4">
        <v>88.68421052631578</v>
      </c>
      <c r="F4">
        <v>86.84210526315789</v>
      </c>
      <c r="G4">
        <v>87.631578947368425</v>
      </c>
      <c r="H4">
        <v>84.73684210526315</v>
      </c>
      <c r="I4">
        <v>84.73684210526315</v>
      </c>
      <c r="J4">
        <v>85.789473684210535</v>
      </c>
      <c r="K4">
        <v>85.526315789473685</v>
      </c>
      <c r="L4">
        <v>82.631578947368425</v>
      </c>
    </row>
    <row r="5" spans="1:15" ht="16" x14ac:dyDescent="0.2">
      <c r="A5" s="15" t="s">
        <v>26</v>
      </c>
      <c r="B5" s="12" t="s">
        <v>70</v>
      </c>
      <c r="C5">
        <v>86.92307692307692</v>
      </c>
      <c r="D5">
        <v>56.923076923076927</v>
      </c>
      <c r="E5">
        <v>54.615384615384613</v>
      </c>
      <c r="F5">
        <v>50</v>
      </c>
      <c r="G5">
        <v>50</v>
      </c>
      <c r="H5">
        <v>43.076923076923073</v>
      </c>
      <c r="I5">
        <v>43.076923076923073</v>
      </c>
      <c r="J5">
        <v>48.46153846153846</v>
      </c>
      <c r="K5">
        <v>47.692307692307693</v>
      </c>
      <c r="L5">
        <v>46.153846153846146</v>
      </c>
    </row>
    <row r="6" spans="1:15" ht="16" x14ac:dyDescent="0.2">
      <c r="A6" s="15" t="s">
        <v>28</v>
      </c>
      <c r="B6" s="12" t="s">
        <v>71</v>
      </c>
      <c r="C6">
        <v>100</v>
      </c>
      <c r="D6">
        <v>100</v>
      </c>
      <c r="E6">
        <v>99.565217391304358</v>
      </c>
      <c r="F6">
        <v>98.695652173913047</v>
      </c>
      <c r="G6">
        <v>98.260869565217376</v>
      </c>
      <c r="H6">
        <v>98.260869565217376</v>
      </c>
      <c r="I6">
        <v>97.391304347826093</v>
      </c>
      <c r="J6">
        <v>97.391304347826093</v>
      </c>
      <c r="K6">
        <v>97.826086956521735</v>
      </c>
      <c r="L6">
        <v>96.956521739130437</v>
      </c>
    </row>
    <row r="7" spans="1:15" ht="16" x14ac:dyDescent="0.2">
      <c r="A7" s="15" t="s">
        <v>30</v>
      </c>
      <c r="B7" s="12" t="s">
        <v>47</v>
      </c>
      <c r="C7">
        <v>84.285714285714292</v>
      </c>
      <c r="D7">
        <v>60</v>
      </c>
      <c r="E7">
        <v>50</v>
      </c>
      <c r="F7">
        <v>50</v>
      </c>
      <c r="G7">
        <v>47.142857142857146</v>
      </c>
      <c r="H7">
        <v>38.571428571428569</v>
      </c>
      <c r="I7">
        <v>50</v>
      </c>
      <c r="J7">
        <v>40</v>
      </c>
      <c r="K7">
        <v>32.857142857142854</v>
      </c>
      <c r="L7">
        <v>40</v>
      </c>
    </row>
    <row r="8" spans="1:15" ht="16" x14ac:dyDescent="0.2">
      <c r="A8" s="15" t="s">
        <v>32</v>
      </c>
      <c r="B8" s="12" t="s">
        <v>48</v>
      </c>
      <c r="C8">
        <v>90</v>
      </c>
      <c r="D8">
        <v>66.5</v>
      </c>
      <c r="E8">
        <v>58</v>
      </c>
      <c r="F8">
        <v>55.5</v>
      </c>
      <c r="G8">
        <v>52.5</v>
      </c>
      <c r="H8">
        <v>46</v>
      </c>
      <c r="I8">
        <v>44</v>
      </c>
      <c r="J8">
        <v>40.5</v>
      </c>
      <c r="K8">
        <v>44.5</v>
      </c>
      <c r="L8">
        <v>43</v>
      </c>
    </row>
    <row r="9" spans="1:15" ht="16" x14ac:dyDescent="0.2">
      <c r="A9" s="15" t="s">
        <v>34</v>
      </c>
      <c r="B9" s="12" t="s">
        <v>49</v>
      </c>
      <c r="C9">
        <v>97.272727272727266</v>
      </c>
      <c r="D9">
        <v>68.181818181818187</v>
      </c>
      <c r="E9">
        <v>65.454545454545453</v>
      </c>
      <c r="F9">
        <v>50</v>
      </c>
      <c r="G9">
        <v>54.54545454545454</v>
      </c>
      <c r="H9">
        <v>56.363636363636367</v>
      </c>
      <c r="I9">
        <v>58.181818181818187</v>
      </c>
      <c r="J9">
        <v>55.45454545454546</v>
      </c>
      <c r="K9">
        <v>50.909090909090907</v>
      </c>
      <c r="L9">
        <v>43.636363636363633</v>
      </c>
    </row>
    <row r="10" spans="1:15" ht="17" x14ac:dyDescent="0.2">
      <c r="A10" s="16" t="s">
        <v>36</v>
      </c>
      <c r="B10" s="12" t="s">
        <v>50</v>
      </c>
      <c r="C10">
        <v>100</v>
      </c>
      <c r="D10">
        <v>52.5</v>
      </c>
      <c r="E10">
        <v>62.5</v>
      </c>
      <c r="F10">
        <v>41.25</v>
      </c>
      <c r="G10">
        <v>50</v>
      </c>
      <c r="H10">
        <v>45</v>
      </c>
      <c r="I10">
        <v>50</v>
      </c>
      <c r="J10">
        <v>42.5</v>
      </c>
      <c r="K10">
        <v>43.75</v>
      </c>
      <c r="L10">
        <v>41.25</v>
      </c>
    </row>
    <row r="11" spans="1:15" ht="16" x14ac:dyDescent="0.2">
      <c r="A11" s="12" t="s">
        <v>38</v>
      </c>
      <c r="B11" s="12" t="s">
        <v>51</v>
      </c>
      <c r="C11">
        <v>95.454545454545453</v>
      </c>
      <c r="D11">
        <v>40.909090909090907</v>
      </c>
      <c r="E11">
        <v>39.545454545454547</v>
      </c>
      <c r="F11">
        <v>41.363636363636367</v>
      </c>
      <c r="G11">
        <v>39.090909090909093</v>
      </c>
      <c r="H11">
        <v>41.818181818181813</v>
      </c>
      <c r="I11">
        <v>40</v>
      </c>
      <c r="J11">
        <v>41.363636363636367</v>
      </c>
      <c r="K11">
        <v>40.909090909090907</v>
      </c>
      <c r="L11">
        <v>41.818181818181813</v>
      </c>
    </row>
    <row r="12" spans="1:15" ht="32" x14ac:dyDescent="0.2">
      <c r="A12" s="17" t="s">
        <v>66</v>
      </c>
      <c r="B12" s="12" t="s">
        <v>52</v>
      </c>
      <c r="C12">
        <v>100</v>
      </c>
      <c r="D12">
        <v>27.142857142857146</v>
      </c>
      <c r="E12">
        <v>25.714285714285715</v>
      </c>
      <c r="F12">
        <v>28.571428571428573</v>
      </c>
      <c r="G12">
        <v>30.714285714285715</v>
      </c>
      <c r="H12">
        <v>27.857142857142854</v>
      </c>
      <c r="I12">
        <v>23.571428571428573</v>
      </c>
      <c r="J12">
        <v>24.285714285714285</v>
      </c>
      <c r="K12">
        <v>30.714285714285715</v>
      </c>
      <c r="L12">
        <v>29.285714285714285</v>
      </c>
    </row>
    <row r="13" spans="1:15" ht="16" x14ac:dyDescent="0.2">
      <c r="A13" s="17" t="s">
        <v>41</v>
      </c>
      <c r="B13" s="12" t="s">
        <v>53</v>
      </c>
      <c r="C13">
        <v>31</v>
      </c>
      <c r="D13">
        <v>10</v>
      </c>
      <c r="E13">
        <v>5</v>
      </c>
      <c r="F13">
        <v>5</v>
      </c>
      <c r="G13">
        <v>5</v>
      </c>
      <c r="H13">
        <v>3</v>
      </c>
      <c r="I13">
        <v>2</v>
      </c>
      <c r="J13">
        <v>2</v>
      </c>
      <c r="K13">
        <v>0</v>
      </c>
      <c r="L13">
        <v>0</v>
      </c>
    </row>
    <row r="14" spans="1:15" ht="16" x14ac:dyDescent="0.2">
      <c r="A14" s="18" t="s">
        <v>54</v>
      </c>
      <c r="B14" s="12" t="s">
        <v>55</v>
      </c>
      <c r="C14">
        <v>100</v>
      </c>
      <c r="D14">
        <v>100</v>
      </c>
      <c r="E14">
        <v>100</v>
      </c>
      <c r="F14">
        <v>99.583333333333343</v>
      </c>
      <c r="G14">
        <v>100</v>
      </c>
      <c r="H14">
        <v>100</v>
      </c>
      <c r="I14">
        <v>100</v>
      </c>
      <c r="J14">
        <v>99.583333333333343</v>
      </c>
      <c r="K14">
        <v>100</v>
      </c>
      <c r="L14">
        <v>99.583333333333343</v>
      </c>
    </row>
    <row r="15" spans="1:15" x14ac:dyDescent="0.2">
      <c r="A15" s="18" t="s">
        <v>72</v>
      </c>
      <c r="B15" s="18" t="s">
        <v>73</v>
      </c>
      <c r="C15">
        <v>89</v>
      </c>
      <c r="D15">
        <v>12</v>
      </c>
      <c r="E15">
        <v>11</v>
      </c>
      <c r="F15">
        <v>12</v>
      </c>
      <c r="G15">
        <v>15</v>
      </c>
      <c r="H15">
        <v>13</v>
      </c>
      <c r="I15">
        <v>10</v>
      </c>
      <c r="J15">
        <v>10</v>
      </c>
      <c r="K15">
        <v>13</v>
      </c>
      <c r="L1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5A56-DDF3-4FF4-BFEE-397252C55B77}">
  <dimension ref="A1:AU39"/>
  <sheetViews>
    <sheetView tabSelected="1" topLeftCell="AE1" workbookViewId="0">
      <selection activeCell="AS1" sqref="AS1:AS1048576"/>
    </sheetView>
  </sheetViews>
  <sheetFormatPr baseColWidth="10" defaultColWidth="8.83203125" defaultRowHeight="15" x14ac:dyDescent="0.2"/>
  <cols>
    <col min="1" max="3" width="8.83203125" customWidth="1"/>
    <col min="13" max="13" width="12.1640625" bestFit="1" customWidth="1"/>
    <col min="45" max="45" width="8.83203125" style="23"/>
  </cols>
  <sheetData>
    <row r="1" spans="1:47" ht="80" x14ac:dyDescent="0.2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48</v>
      </c>
      <c r="H1" s="12" t="s">
        <v>49</v>
      </c>
      <c r="I1" s="12" t="s">
        <v>50</v>
      </c>
      <c r="J1" s="12" t="s">
        <v>51</v>
      </c>
      <c r="K1" s="7" t="s">
        <v>52</v>
      </c>
      <c r="L1" s="7" t="s">
        <v>53</v>
      </c>
      <c r="M1" s="12" t="s">
        <v>55</v>
      </c>
      <c r="N1" s="12"/>
      <c r="O1" s="12"/>
      <c r="P1" s="12"/>
      <c r="S1" s="12" t="s">
        <v>42</v>
      </c>
      <c r="T1" s="12" t="s">
        <v>43</v>
      </c>
      <c r="U1" s="12" t="s">
        <v>44</v>
      </c>
      <c r="V1" s="12" t="s">
        <v>45</v>
      </c>
      <c r="W1" s="12" t="s">
        <v>46</v>
      </c>
      <c r="X1" s="12" t="s">
        <v>47</v>
      </c>
      <c r="Y1" s="12" t="s">
        <v>48</v>
      </c>
      <c r="Z1" s="12" t="s">
        <v>49</v>
      </c>
      <c r="AA1" s="12" t="s">
        <v>50</v>
      </c>
      <c r="AB1" s="12" t="s">
        <v>51</v>
      </c>
      <c r="AC1" s="7" t="s">
        <v>52</v>
      </c>
      <c r="AD1" s="7" t="s">
        <v>53</v>
      </c>
      <c r="AE1" s="12" t="s">
        <v>55</v>
      </c>
      <c r="AI1" s="12" t="s">
        <v>42</v>
      </c>
      <c r="AJ1" s="12" t="s">
        <v>43</v>
      </c>
      <c r="AK1" s="12" t="s">
        <v>44</v>
      </c>
      <c r="AL1" s="12" t="s">
        <v>45</v>
      </c>
      <c r="AM1" s="12" t="s">
        <v>46</v>
      </c>
      <c r="AN1" s="12" t="s">
        <v>47</v>
      </c>
      <c r="AO1" s="12" t="s">
        <v>48</v>
      </c>
      <c r="AP1" s="12" t="s">
        <v>49</v>
      </c>
      <c r="AQ1" s="12" t="s">
        <v>50</v>
      </c>
      <c r="AR1" s="12" t="s">
        <v>51</v>
      </c>
      <c r="AS1" s="22" t="s">
        <v>52</v>
      </c>
      <c r="AT1" s="7" t="s">
        <v>53</v>
      </c>
      <c r="AU1" s="12" t="s">
        <v>55</v>
      </c>
    </row>
    <row r="2" spans="1:47" x14ac:dyDescent="0.2">
      <c r="A2">
        <v>9.9540229885057467</v>
      </c>
      <c r="B2">
        <v>6.2707182320441994</v>
      </c>
      <c r="C2">
        <v>6.2149532710280377</v>
      </c>
      <c r="D2">
        <v>1.5778894472361811</v>
      </c>
      <c r="E2">
        <v>5</v>
      </c>
      <c r="F2">
        <v>7.7586206896551726</v>
      </c>
      <c r="G2">
        <v>7.7659574468085104</v>
      </c>
      <c r="H2">
        <v>6.7380000000000004</v>
      </c>
      <c r="I2">
        <v>5.7142857142857144</v>
      </c>
      <c r="J2">
        <v>6.756756756756757</v>
      </c>
      <c r="K2" s="1">
        <v>4.7435897440000003</v>
      </c>
      <c r="L2" s="1">
        <v>0.13432835800000001</v>
      </c>
      <c r="M2">
        <v>7.6150229885057499</v>
      </c>
      <c r="S2">
        <v>0.76</v>
      </c>
      <c r="T2">
        <v>0.89</v>
      </c>
      <c r="U2">
        <v>0.94</v>
      </c>
      <c r="V2">
        <v>1.04</v>
      </c>
      <c r="W2">
        <v>1.08</v>
      </c>
      <c r="X2">
        <v>2.83</v>
      </c>
      <c r="Y2">
        <v>1.06</v>
      </c>
      <c r="Z2">
        <v>0.99</v>
      </c>
      <c r="AA2">
        <v>1.25</v>
      </c>
      <c r="AB2">
        <v>1.17</v>
      </c>
      <c r="AC2" s="1">
        <v>0.93</v>
      </c>
      <c r="AD2" s="1">
        <v>1.26</v>
      </c>
      <c r="AE2" s="1">
        <v>0.83</v>
      </c>
      <c r="AI2">
        <v>98</v>
      </c>
      <c r="AJ2">
        <v>100</v>
      </c>
      <c r="AK2">
        <v>94</v>
      </c>
      <c r="AL2">
        <v>100</v>
      </c>
      <c r="AM2">
        <v>95</v>
      </c>
      <c r="AN2">
        <v>24</v>
      </c>
      <c r="AO2">
        <v>100</v>
      </c>
      <c r="AP2">
        <v>100</v>
      </c>
      <c r="AQ2">
        <v>11</v>
      </c>
      <c r="AR2">
        <v>12</v>
      </c>
      <c r="AS2" s="23">
        <v>10</v>
      </c>
      <c r="AT2" s="1">
        <v>1</v>
      </c>
      <c r="AU2">
        <v>100</v>
      </c>
    </row>
    <row r="3" spans="1:47" x14ac:dyDescent="0.2">
      <c r="A3">
        <v>8.2524271844660202</v>
      </c>
      <c r="B3">
        <v>8.6383928571428577</v>
      </c>
      <c r="C3">
        <v>7.4861878453038679</v>
      </c>
      <c r="D3">
        <v>5.2615062761506275</v>
      </c>
      <c r="E3">
        <v>7.9375</v>
      </c>
      <c r="F3">
        <v>6.2788461538461542</v>
      </c>
      <c r="G3">
        <v>12.579365079365079</v>
      </c>
      <c r="H3">
        <v>3.4390000000000001</v>
      </c>
      <c r="I3">
        <v>6.0519480519480524</v>
      </c>
      <c r="J3">
        <v>8.1818181818181817</v>
      </c>
      <c r="K3" s="1">
        <v>3.326732673</v>
      </c>
      <c r="L3" s="1">
        <v>0</v>
      </c>
      <c r="M3">
        <v>10.242718446602</v>
      </c>
      <c r="S3">
        <v>0.86</v>
      </c>
      <c r="T3">
        <v>0.94</v>
      </c>
      <c r="U3">
        <v>1.04</v>
      </c>
      <c r="V3">
        <v>1.0900000000000001</v>
      </c>
      <c r="W3">
        <v>0.94</v>
      </c>
      <c r="X3">
        <v>2.2000000000000002</v>
      </c>
      <c r="Y3">
        <v>1.0900000000000001</v>
      </c>
      <c r="Z3">
        <v>1.75</v>
      </c>
      <c r="AA3">
        <v>0.82</v>
      </c>
      <c r="AB3">
        <v>1.18</v>
      </c>
      <c r="AC3" s="1">
        <v>1.66</v>
      </c>
      <c r="AD3" s="1">
        <v>0</v>
      </c>
      <c r="AE3">
        <f>AVERAGE(0.9,0.71)</f>
        <v>0.80499999999999994</v>
      </c>
      <c r="AI3">
        <v>98</v>
      </c>
      <c r="AJ3">
        <v>100</v>
      </c>
      <c r="AK3">
        <v>100</v>
      </c>
      <c r="AL3">
        <v>10</v>
      </c>
      <c r="AM3">
        <v>100</v>
      </c>
      <c r="AN3">
        <v>28</v>
      </c>
      <c r="AO3">
        <v>88</v>
      </c>
      <c r="AP3">
        <v>18</v>
      </c>
      <c r="AQ3">
        <v>16</v>
      </c>
      <c r="AR3">
        <v>12</v>
      </c>
      <c r="AS3" s="23">
        <v>11</v>
      </c>
      <c r="AT3" s="1">
        <v>0</v>
      </c>
      <c r="AU3">
        <v>98.5</v>
      </c>
    </row>
    <row r="4" spans="1:47" x14ac:dyDescent="0.2">
      <c r="A4">
        <v>5.7641921397379914</v>
      </c>
      <c r="B4">
        <v>9.5522388059701502</v>
      </c>
      <c r="C4">
        <v>3.3376288659793816</v>
      </c>
      <c r="D4">
        <v>6.3097949886104789</v>
      </c>
      <c r="E4">
        <v>11.674418604651162</v>
      </c>
      <c r="F4">
        <v>4.3275862068965516</v>
      </c>
      <c r="G4">
        <v>3.1557377049180331</v>
      </c>
      <c r="H4">
        <v>8.452</v>
      </c>
      <c r="I4">
        <v>6.1463414634146343</v>
      </c>
      <c r="J4">
        <v>7.8181818181818183</v>
      </c>
      <c r="K4" s="1">
        <v>6.1194029849999998</v>
      </c>
      <c r="L4" s="1">
        <v>2.7149321000000001E-2</v>
      </c>
      <c r="M4">
        <v>8.1419213973798996</v>
      </c>
      <c r="S4">
        <v>0.97</v>
      </c>
      <c r="T4">
        <v>0.95</v>
      </c>
      <c r="U4">
        <v>1.32</v>
      </c>
      <c r="V4">
        <v>1.06</v>
      </c>
      <c r="W4">
        <v>0.99</v>
      </c>
      <c r="X4">
        <v>1.23</v>
      </c>
      <c r="Y4">
        <v>1.1299999999999999</v>
      </c>
      <c r="Z4">
        <v>0.87</v>
      </c>
      <c r="AA4">
        <v>0.8</v>
      </c>
      <c r="AB4">
        <v>1.27</v>
      </c>
      <c r="AC4" s="1">
        <v>1.17</v>
      </c>
      <c r="AD4" s="1">
        <v>0</v>
      </c>
      <c r="AE4">
        <f>AVERAGE(0.9,0.8)</f>
        <v>0.85000000000000009</v>
      </c>
      <c r="AI4">
        <v>99</v>
      </c>
      <c r="AJ4">
        <v>100</v>
      </c>
      <c r="AK4">
        <v>84</v>
      </c>
      <c r="AL4">
        <v>10</v>
      </c>
      <c r="AM4">
        <v>100</v>
      </c>
      <c r="AN4">
        <v>39</v>
      </c>
      <c r="AO4">
        <v>23</v>
      </c>
      <c r="AP4">
        <v>100</v>
      </c>
      <c r="AQ4">
        <v>61</v>
      </c>
      <c r="AR4">
        <v>10</v>
      </c>
      <c r="AS4" s="23">
        <v>13</v>
      </c>
      <c r="AT4" s="1">
        <v>0</v>
      </c>
      <c r="AU4">
        <v>100</v>
      </c>
    </row>
    <row r="5" spans="1:47" x14ac:dyDescent="0.2">
      <c r="A5">
        <v>7.5806451612903221</v>
      </c>
      <c r="B5">
        <v>4.3942307692307701</v>
      </c>
      <c r="C5">
        <v>6.1683168316831694</v>
      </c>
      <c r="D5">
        <v>2.3220536756126018</v>
      </c>
      <c r="E5">
        <v>6.7931688804554078</v>
      </c>
      <c r="F5">
        <v>11.428571428571429</v>
      </c>
      <c r="G5">
        <v>7.1337579617834397</v>
      </c>
      <c r="H5">
        <v>5.5605381165919283</v>
      </c>
      <c r="I5">
        <v>5.5437665782493362</v>
      </c>
      <c r="J5">
        <v>5.8018867924528301</v>
      </c>
      <c r="K5" s="1">
        <v>7.2853185600000003</v>
      </c>
      <c r="L5" s="1">
        <v>0.44444444399999999</v>
      </c>
      <c r="M5">
        <v>8.7866451612903198</v>
      </c>
      <c r="S5">
        <v>0.97</v>
      </c>
      <c r="T5">
        <v>1.24</v>
      </c>
      <c r="U5">
        <v>1.04</v>
      </c>
      <c r="V5">
        <v>0.9</v>
      </c>
      <c r="W5">
        <v>1.02</v>
      </c>
      <c r="X5">
        <v>1.37</v>
      </c>
      <c r="Y5">
        <v>1.1599999999999999</v>
      </c>
      <c r="Z5">
        <v>1.1299999999999999</v>
      </c>
      <c r="AA5">
        <v>0.81</v>
      </c>
      <c r="AB5">
        <v>1.42</v>
      </c>
      <c r="AC5" s="1">
        <v>0.98</v>
      </c>
      <c r="AD5" s="1">
        <v>0</v>
      </c>
      <c r="AE5">
        <f>AVERAGE(0.94,0.8)</f>
        <v>0.87</v>
      </c>
      <c r="AI5">
        <v>99</v>
      </c>
      <c r="AJ5">
        <v>66</v>
      </c>
      <c r="AK5">
        <v>13</v>
      </c>
      <c r="AL5">
        <v>31</v>
      </c>
      <c r="AM5">
        <v>90</v>
      </c>
      <c r="AN5">
        <v>45</v>
      </c>
      <c r="AO5">
        <v>67</v>
      </c>
      <c r="AP5">
        <v>87</v>
      </c>
      <c r="AQ5">
        <v>100</v>
      </c>
      <c r="AR5">
        <v>0</v>
      </c>
      <c r="AS5" s="23">
        <v>13</v>
      </c>
      <c r="AT5" s="1">
        <v>0</v>
      </c>
      <c r="AU5">
        <v>100</v>
      </c>
    </row>
    <row r="6" spans="1:47" x14ac:dyDescent="0.2">
      <c r="A6">
        <v>11.20253164556962</v>
      </c>
      <c r="B6">
        <v>7.9865771812080544</v>
      </c>
      <c r="C6">
        <v>1.6511627906976745</v>
      </c>
      <c r="D6">
        <v>11.744186046511627</v>
      </c>
      <c r="E6">
        <v>5.1340206185567014</v>
      </c>
      <c r="F6">
        <v>4.885496183206107</v>
      </c>
      <c r="G6">
        <v>13.342618384401113</v>
      </c>
      <c r="H6">
        <v>4.29</v>
      </c>
      <c r="I6">
        <v>6.3483146067415728</v>
      </c>
      <c r="J6">
        <v>3.4941860465116279</v>
      </c>
      <c r="K6" s="1">
        <v>6.1623376619999997</v>
      </c>
      <c r="L6" s="1">
        <v>1.6666667E-2</v>
      </c>
      <c r="M6">
        <v>10.002531645569601</v>
      </c>
      <c r="S6">
        <v>0.99</v>
      </c>
      <c r="T6">
        <v>0.92</v>
      </c>
      <c r="U6">
        <v>1.0900000000000001</v>
      </c>
      <c r="V6">
        <v>1.98</v>
      </c>
      <c r="W6">
        <v>0.99</v>
      </c>
      <c r="X6">
        <v>2.4300000000000002</v>
      </c>
      <c r="Y6">
        <v>1.1599999999999999</v>
      </c>
      <c r="Z6">
        <v>2.0299999999999998</v>
      </c>
      <c r="AA6">
        <v>0.86</v>
      </c>
      <c r="AB6">
        <v>0.85</v>
      </c>
      <c r="AC6" s="1">
        <v>0.93</v>
      </c>
      <c r="AD6" s="1">
        <v>1.2</v>
      </c>
      <c r="AE6">
        <v>0.84</v>
      </c>
      <c r="AI6">
        <v>92</v>
      </c>
      <c r="AJ6">
        <v>95</v>
      </c>
      <c r="AK6">
        <v>41</v>
      </c>
      <c r="AL6">
        <v>36</v>
      </c>
      <c r="AM6">
        <v>94</v>
      </c>
      <c r="AN6">
        <v>43</v>
      </c>
      <c r="AO6">
        <v>88</v>
      </c>
      <c r="AP6">
        <v>29</v>
      </c>
      <c r="AQ6">
        <v>49</v>
      </c>
      <c r="AR6">
        <v>82</v>
      </c>
      <c r="AS6" s="23">
        <v>16</v>
      </c>
      <c r="AT6" s="1">
        <v>13</v>
      </c>
      <c r="AU6">
        <v>100</v>
      </c>
    </row>
    <row r="7" spans="1:47" x14ac:dyDescent="0.2">
      <c r="A7">
        <v>10.15625</v>
      </c>
      <c r="B7">
        <v>7.5555555555555554</v>
      </c>
      <c r="C7">
        <v>7.3093220338983054</v>
      </c>
      <c r="D7">
        <v>2.8647540983606561</v>
      </c>
      <c r="E7">
        <v>12.298850574712644</v>
      </c>
      <c r="F7">
        <v>8.1410256410256405</v>
      </c>
      <c r="G7">
        <v>11.428571428571429</v>
      </c>
      <c r="H7">
        <v>5.1602564102564106</v>
      </c>
      <c r="I7">
        <v>11.447368421052632</v>
      </c>
      <c r="J7">
        <v>8.6394557823129237</v>
      </c>
      <c r="K7" s="1">
        <v>2.9696969700000002</v>
      </c>
      <c r="L7" s="1">
        <v>2.3178807999999999E-2</v>
      </c>
      <c r="M7">
        <v>9.1586456250000001</v>
      </c>
      <c r="S7">
        <v>0.94</v>
      </c>
      <c r="T7">
        <v>0.89</v>
      </c>
      <c r="U7">
        <v>0.95</v>
      </c>
      <c r="V7">
        <v>1.04</v>
      </c>
      <c r="W7">
        <v>0.94</v>
      </c>
      <c r="X7">
        <v>1.34</v>
      </c>
      <c r="Y7">
        <v>1.17</v>
      </c>
      <c r="Z7">
        <v>2.4500000000000002</v>
      </c>
      <c r="AA7">
        <v>1.04</v>
      </c>
      <c r="AB7">
        <v>0.89</v>
      </c>
      <c r="AC7" s="1">
        <v>1.03</v>
      </c>
      <c r="AD7" s="1">
        <v>1.1399999999999999</v>
      </c>
      <c r="AE7">
        <v>0.93</v>
      </c>
      <c r="AI7">
        <v>99</v>
      </c>
      <c r="AJ7">
        <v>100</v>
      </c>
      <c r="AK7">
        <v>99</v>
      </c>
      <c r="AL7">
        <v>100</v>
      </c>
      <c r="AM7">
        <v>100</v>
      </c>
      <c r="AN7">
        <v>83</v>
      </c>
      <c r="AO7">
        <v>56</v>
      </c>
      <c r="AP7">
        <v>10</v>
      </c>
      <c r="AQ7">
        <v>100</v>
      </c>
      <c r="AR7">
        <v>78</v>
      </c>
      <c r="AS7" s="23">
        <v>20</v>
      </c>
      <c r="AT7" s="1">
        <v>39</v>
      </c>
      <c r="AU7">
        <v>100</v>
      </c>
    </row>
    <row r="8" spans="1:47" x14ac:dyDescent="0.2">
      <c r="A8">
        <v>9.2413793103448274</v>
      </c>
      <c r="B8">
        <v>4.4897959183673466</v>
      </c>
      <c r="C8">
        <v>4.0217391304347823</v>
      </c>
      <c r="D8">
        <v>5.0937808489634753</v>
      </c>
      <c r="E8">
        <v>7.3611111111111116</v>
      </c>
      <c r="F8">
        <v>10.756756756756756</v>
      </c>
      <c r="G8">
        <v>4.6571136131013304</v>
      </c>
      <c r="H8">
        <v>5.8532934131736534</v>
      </c>
      <c r="I8">
        <v>6.9325153374233128</v>
      </c>
      <c r="J8">
        <v>6.3350785340314131</v>
      </c>
      <c r="K8" s="1">
        <v>4.8955613580000001</v>
      </c>
      <c r="L8" s="1">
        <v>8.2644629999999997E-3</v>
      </c>
      <c r="M8">
        <v>8.2454793103448303</v>
      </c>
      <c r="S8">
        <v>0.94</v>
      </c>
      <c r="T8">
        <v>0.94</v>
      </c>
      <c r="U8">
        <v>1.1299999999999999</v>
      </c>
      <c r="V8">
        <v>3.12</v>
      </c>
      <c r="W8">
        <v>0.99</v>
      </c>
      <c r="X8">
        <v>1.26</v>
      </c>
      <c r="Y8">
        <v>1.18</v>
      </c>
      <c r="Z8">
        <v>0.8</v>
      </c>
      <c r="AA8">
        <v>0.68</v>
      </c>
      <c r="AB8">
        <v>0.98</v>
      </c>
      <c r="AC8" s="1">
        <v>0.9</v>
      </c>
      <c r="AD8" s="1">
        <v>0</v>
      </c>
      <c r="AE8">
        <f>AVERAGE(0.99,0.9)</f>
        <v>0.94500000000000006</v>
      </c>
      <c r="AI8">
        <v>99</v>
      </c>
      <c r="AJ8">
        <v>100</v>
      </c>
      <c r="AK8">
        <v>100</v>
      </c>
      <c r="AL8">
        <v>38</v>
      </c>
      <c r="AM8">
        <v>100</v>
      </c>
      <c r="AN8">
        <v>83</v>
      </c>
      <c r="AO8">
        <v>100</v>
      </c>
      <c r="AP8">
        <v>91</v>
      </c>
      <c r="AQ8">
        <v>37</v>
      </c>
      <c r="AR8">
        <v>32</v>
      </c>
      <c r="AS8" s="23">
        <v>20</v>
      </c>
      <c r="AT8" s="1">
        <v>0</v>
      </c>
      <c r="AU8">
        <v>100</v>
      </c>
    </row>
    <row r="9" spans="1:47" x14ac:dyDescent="0.2">
      <c r="A9">
        <v>8.7748344370860938</v>
      </c>
      <c r="B9">
        <v>4.4613583138173301</v>
      </c>
      <c r="C9">
        <v>13.496503496503498</v>
      </c>
      <c r="D9">
        <v>3.7210526315789481</v>
      </c>
      <c r="E9">
        <v>10</v>
      </c>
      <c r="G9">
        <v>5.5924170616113749</v>
      </c>
      <c r="H9">
        <v>4.9544863459037707</v>
      </c>
      <c r="I9">
        <v>7.5</v>
      </c>
      <c r="J9">
        <v>9.3478260869565215</v>
      </c>
      <c r="K9" s="1">
        <v>12.488687779999999</v>
      </c>
      <c r="L9" s="1">
        <v>0.16617210700000001</v>
      </c>
      <c r="M9">
        <v>7.1258344370860902</v>
      </c>
      <c r="S9">
        <v>0.94</v>
      </c>
      <c r="T9">
        <v>0.94</v>
      </c>
      <c r="U9">
        <v>1.1299999999999999</v>
      </c>
      <c r="V9">
        <v>1.04</v>
      </c>
      <c r="W9">
        <v>0.85</v>
      </c>
      <c r="Y9">
        <v>1.18</v>
      </c>
      <c r="Z9">
        <v>1.23</v>
      </c>
      <c r="AA9">
        <v>0.7</v>
      </c>
      <c r="AB9">
        <v>1.1100000000000001</v>
      </c>
      <c r="AC9" s="1">
        <v>0.88</v>
      </c>
      <c r="AD9" s="1">
        <v>0</v>
      </c>
      <c r="AE9">
        <f>AVERAGE(0.9,0.8)</f>
        <v>0.85000000000000009</v>
      </c>
      <c r="AI9">
        <v>99</v>
      </c>
      <c r="AJ9">
        <v>100</v>
      </c>
      <c r="AK9">
        <v>91</v>
      </c>
      <c r="AL9">
        <v>12</v>
      </c>
      <c r="AM9">
        <v>100</v>
      </c>
      <c r="AO9">
        <v>42</v>
      </c>
      <c r="AP9">
        <v>65</v>
      </c>
      <c r="AQ9">
        <v>49</v>
      </c>
      <c r="AR9">
        <v>45</v>
      </c>
      <c r="AS9" s="23">
        <v>25</v>
      </c>
      <c r="AT9" s="1">
        <v>0</v>
      </c>
      <c r="AU9">
        <v>100</v>
      </c>
    </row>
    <row r="10" spans="1:47" ht="16" x14ac:dyDescent="0.2">
      <c r="A10">
        <v>10.111524163568774</v>
      </c>
      <c r="B10">
        <v>2.610619469026549</v>
      </c>
      <c r="C10">
        <v>8.1578947368421062</v>
      </c>
      <c r="D10">
        <v>1.2403100775193798</v>
      </c>
      <c r="E10">
        <v>6.7999999999999989</v>
      </c>
      <c r="G10">
        <v>19.682539682539684</v>
      </c>
      <c r="H10">
        <v>3.75</v>
      </c>
      <c r="J10">
        <v>7.8618421052631575</v>
      </c>
      <c r="K10" s="1">
        <v>6.0960334029999999</v>
      </c>
      <c r="L10" s="1">
        <v>0.13</v>
      </c>
      <c r="M10">
        <v>9.4545241635688004</v>
      </c>
      <c r="S10">
        <v>0.97</v>
      </c>
      <c r="T10">
        <v>2.17</v>
      </c>
      <c r="U10">
        <v>1.07</v>
      </c>
      <c r="V10">
        <v>1.75</v>
      </c>
      <c r="W10">
        <v>1.02</v>
      </c>
      <c r="Y10">
        <v>1.21</v>
      </c>
      <c r="Z10">
        <v>2.93</v>
      </c>
      <c r="AB10">
        <v>0.94</v>
      </c>
      <c r="AC10" s="1">
        <v>1.66</v>
      </c>
      <c r="AD10" s="1">
        <v>0</v>
      </c>
      <c r="AE10" s="13">
        <f>AVERAGE(0.99,0.76)</f>
        <v>0.875</v>
      </c>
      <c r="AI10">
        <v>92</v>
      </c>
      <c r="AJ10">
        <v>54</v>
      </c>
      <c r="AK10">
        <v>100</v>
      </c>
      <c r="AL10">
        <v>38</v>
      </c>
      <c r="AM10">
        <v>100</v>
      </c>
      <c r="AO10">
        <v>76</v>
      </c>
      <c r="AP10">
        <v>34</v>
      </c>
      <c r="AR10">
        <v>20</v>
      </c>
      <c r="AS10" s="23">
        <v>31</v>
      </c>
      <c r="AT10" s="1">
        <v>0</v>
      </c>
      <c r="AU10">
        <v>100</v>
      </c>
    </row>
    <row r="11" spans="1:47" ht="16" x14ac:dyDescent="0.2">
      <c r="A11">
        <v>8.8306451612903221</v>
      </c>
      <c r="B11">
        <v>1.2677165354330711</v>
      </c>
      <c r="C11">
        <v>13.258426966292136</v>
      </c>
      <c r="D11">
        <v>5.969645868465431</v>
      </c>
      <c r="E11">
        <v>7.3605947955390345</v>
      </c>
      <c r="G11">
        <v>4.5412844036697253</v>
      </c>
      <c r="H11">
        <v>6.5483870967741931</v>
      </c>
      <c r="J11">
        <v>7.7647058823529402</v>
      </c>
      <c r="K11" s="1">
        <v>8.6776859500000008</v>
      </c>
      <c r="L11" s="1">
        <v>9.375E-2</v>
      </c>
      <c r="M11">
        <v>7.0006816129032003</v>
      </c>
      <c r="S11">
        <v>0.84</v>
      </c>
      <c r="T11">
        <v>1.79</v>
      </c>
      <c r="U11">
        <v>1.04</v>
      </c>
      <c r="V11">
        <v>1.06</v>
      </c>
      <c r="W11">
        <v>0.99</v>
      </c>
      <c r="Y11">
        <v>1.32</v>
      </c>
      <c r="Z11">
        <v>0.94</v>
      </c>
      <c r="AB11">
        <v>1.04</v>
      </c>
      <c r="AC11" s="1">
        <v>1.19</v>
      </c>
      <c r="AD11" s="1">
        <v>1.39</v>
      </c>
      <c r="AE11" s="13">
        <f>AVERAGE(0.89,0.79)</f>
        <v>0.84000000000000008</v>
      </c>
      <c r="AI11">
        <v>99</v>
      </c>
      <c r="AJ11">
        <v>27</v>
      </c>
      <c r="AK11">
        <v>100</v>
      </c>
      <c r="AL11">
        <v>100</v>
      </c>
      <c r="AM11">
        <v>100</v>
      </c>
      <c r="AO11">
        <v>34</v>
      </c>
      <c r="AP11">
        <v>73</v>
      </c>
      <c r="AR11">
        <v>13</v>
      </c>
      <c r="AS11" s="23">
        <v>32</v>
      </c>
      <c r="AT11" s="1">
        <v>10</v>
      </c>
      <c r="AU11">
        <v>100</v>
      </c>
    </row>
    <row r="12" spans="1:47" ht="16" x14ac:dyDescent="0.2">
      <c r="A12">
        <v>8.7005649717514117</v>
      </c>
      <c r="B12">
        <v>4.3216080402010046</v>
      </c>
      <c r="C12">
        <v>20.138888888888889</v>
      </c>
      <c r="D12">
        <v>4.2776203966005673</v>
      </c>
      <c r="E12">
        <v>25.414012738853504</v>
      </c>
      <c r="G12">
        <v>9.7461928934010142</v>
      </c>
      <c r="H12">
        <v>4.3205128205128212</v>
      </c>
      <c r="J12">
        <v>5.0314136125654452</v>
      </c>
      <c r="K12" s="1">
        <v>8.4753363230000005</v>
      </c>
      <c r="M12">
        <v>8.5100566633397996</v>
      </c>
      <c r="S12">
        <v>0.94</v>
      </c>
      <c r="T12">
        <v>1.18</v>
      </c>
      <c r="U12">
        <v>0.94</v>
      </c>
      <c r="V12">
        <v>1.04</v>
      </c>
      <c r="W12">
        <v>0.85</v>
      </c>
      <c r="Y12">
        <v>1.36</v>
      </c>
      <c r="Z12">
        <v>0.99</v>
      </c>
      <c r="AB12">
        <v>1.08</v>
      </c>
      <c r="AC12" s="1">
        <v>1.33</v>
      </c>
      <c r="AE12" s="13">
        <v>0.79</v>
      </c>
      <c r="AI12">
        <v>99</v>
      </c>
      <c r="AJ12">
        <v>100</v>
      </c>
      <c r="AK12">
        <v>100</v>
      </c>
      <c r="AL12">
        <v>100</v>
      </c>
      <c r="AM12">
        <v>100</v>
      </c>
      <c r="AO12">
        <v>28</v>
      </c>
      <c r="AP12">
        <v>53</v>
      </c>
      <c r="AR12">
        <v>80</v>
      </c>
      <c r="AS12" s="23">
        <v>46</v>
      </c>
      <c r="AU12">
        <v>100</v>
      </c>
    </row>
    <row r="13" spans="1:47" x14ac:dyDescent="0.2">
      <c r="A13">
        <v>9.4581280788177331</v>
      </c>
      <c r="B13">
        <v>0.84242424242424241</v>
      </c>
      <c r="C13">
        <v>17.373737373737374</v>
      </c>
      <c r="D13">
        <v>2.8467153284671531</v>
      </c>
      <c r="E13">
        <v>15.470383275261323</v>
      </c>
      <c r="G13">
        <v>5.3539325842696623</v>
      </c>
      <c r="H13">
        <v>5.0853359352728873</v>
      </c>
      <c r="J13">
        <v>3.0252100840336134</v>
      </c>
      <c r="K13" s="1">
        <v>6.4913793100000001</v>
      </c>
      <c r="M13">
        <v>9.8494491984889994</v>
      </c>
      <c r="S13">
        <v>0.97</v>
      </c>
      <c r="T13">
        <v>1.04</v>
      </c>
      <c r="U13">
        <v>0.94</v>
      </c>
      <c r="V13">
        <v>1.04</v>
      </c>
      <c r="W13">
        <v>0.94</v>
      </c>
      <c r="Y13">
        <v>1.42</v>
      </c>
      <c r="Z13">
        <v>1.3780000000000001</v>
      </c>
      <c r="AB13">
        <v>0.99</v>
      </c>
      <c r="AC13" s="1">
        <v>1.05</v>
      </c>
      <c r="AE13">
        <v>0.8</v>
      </c>
      <c r="AI13">
        <v>100</v>
      </c>
      <c r="AJ13">
        <v>100</v>
      </c>
      <c r="AK13">
        <v>84</v>
      </c>
      <c r="AL13">
        <v>100</v>
      </c>
      <c r="AM13">
        <v>100</v>
      </c>
      <c r="AO13">
        <v>89</v>
      </c>
      <c r="AP13">
        <v>63.2</v>
      </c>
      <c r="AR13">
        <v>100</v>
      </c>
      <c r="AS13" s="23">
        <v>61</v>
      </c>
      <c r="AU13">
        <v>100</v>
      </c>
    </row>
    <row r="14" spans="1:47" x14ac:dyDescent="0.2">
      <c r="A14">
        <v>11.273291925465838</v>
      </c>
      <c r="B14">
        <v>5.4291623578076518</v>
      </c>
      <c r="C14">
        <v>5.615384615384615</v>
      </c>
      <c r="D14">
        <v>1.2246153846153847</v>
      </c>
      <c r="E14">
        <v>11.557632398753896</v>
      </c>
      <c r="G14">
        <v>7.3670212765957448</v>
      </c>
      <c r="J14">
        <v>13.415637860082304</v>
      </c>
      <c r="K14" s="1">
        <v>1.9760765549999999</v>
      </c>
      <c r="S14">
        <v>0.85</v>
      </c>
      <c r="T14">
        <v>1.08</v>
      </c>
      <c r="U14">
        <v>1.1200000000000001</v>
      </c>
      <c r="V14">
        <v>1.0900000000000001</v>
      </c>
      <c r="W14">
        <v>0.94</v>
      </c>
      <c r="Y14">
        <v>1.51</v>
      </c>
      <c r="AB14">
        <v>0.75</v>
      </c>
      <c r="AC14" s="1">
        <v>1.1399999999999999</v>
      </c>
      <c r="AI14">
        <v>100</v>
      </c>
      <c r="AJ14">
        <v>67</v>
      </c>
      <c r="AK14">
        <v>92</v>
      </c>
      <c r="AL14">
        <v>10</v>
      </c>
      <c r="AM14">
        <v>100</v>
      </c>
      <c r="AO14">
        <v>46</v>
      </c>
      <c r="AR14">
        <v>100</v>
      </c>
      <c r="AS14" s="23">
        <v>90</v>
      </c>
    </row>
    <row r="15" spans="1:47" x14ac:dyDescent="0.2">
      <c r="A15">
        <v>8.1756756756756754</v>
      </c>
      <c r="B15">
        <v>6.9278350515463911</v>
      </c>
      <c r="C15">
        <v>9.3037974683544302</v>
      </c>
      <c r="E15">
        <v>11.396396396396396</v>
      </c>
      <c r="G15">
        <v>8.938547486033519</v>
      </c>
      <c r="J15">
        <v>8.025889967637541</v>
      </c>
      <c r="K15" s="1">
        <v>10.948275860000001</v>
      </c>
      <c r="S15">
        <v>0.96</v>
      </c>
      <c r="T15">
        <v>1.01</v>
      </c>
      <c r="U15">
        <v>0.94</v>
      </c>
      <c r="W15">
        <v>0.85</v>
      </c>
      <c r="Y15">
        <v>1.56</v>
      </c>
      <c r="AB15">
        <v>1.7</v>
      </c>
      <c r="AC15" s="1">
        <v>0.96</v>
      </c>
      <c r="AI15">
        <v>99</v>
      </c>
      <c r="AJ15">
        <v>86</v>
      </c>
      <c r="AK15">
        <v>100</v>
      </c>
      <c r="AM15">
        <v>100</v>
      </c>
      <c r="AO15">
        <v>44</v>
      </c>
      <c r="AR15">
        <v>19</v>
      </c>
      <c r="AS15" s="23">
        <v>100</v>
      </c>
    </row>
    <row r="16" spans="1:47" x14ac:dyDescent="0.2">
      <c r="A16">
        <v>9.0000000000000018</v>
      </c>
      <c r="B16">
        <v>7.4224343675417668</v>
      </c>
      <c r="C16">
        <v>6.6349206349206336</v>
      </c>
      <c r="E16">
        <v>10.607734806629834</v>
      </c>
      <c r="G16">
        <v>9.5095367847411438</v>
      </c>
      <c r="J16">
        <v>9.2579505300353357</v>
      </c>
      <c r="S16">
        <v>1.04</v>
      </c>
      <c r="T16">
        <v>0.99</v>
      </c>
      <c r="U16">
        <v>0.85</v>
      </c>
      <c r="W16">
        <v>0.94</v>
      </c>
      <c r="Y16">
        <v>1.56</v>
      </c>
      <c r="AB16">
        <v>1.44</v>
      </c>
      <c r="AI16">
        <v>100</v>
      </c>
      <c r="AJ16">
        <v>100</v>
      </c>
      <c r="AK16">
        <v>100</v>
      </c>
      <c r="AM16">
        <v>100</v>
      </c>
      <c r="AO16">
        <v>29</v>
      </c>
      <c r="AR16">
        <v>10</v>
      </c>
    </row>
    <row r="17" spans="1:44" x14ac:dyDescent="0.2">
      <c r="A17">
        <v>8.0851063829787222</v>
      </c>
      <c r="B17">
        <v>6.0096930533117936</v>
      </c>
      <c r="C17">
        <v>24.105263157894736</v>
      </c>
      <c r="E17">
        <v>5.2777777777777777</v>
      </c>
      <c r="G17">
        <v>10.717299578059071</v>
      </c>
      <c r="J17">
        <v>26.086956521739129</v>
      </c>
      <c r="S17">
        <v>0.91</v>
      </c>
      <c r="T17">
        <v>1.04</v>
      </c>
      <c r="U17">
        <v>1.1000000000000001</v>
      </c>
      <c r="W17">
        <v>1.04</v>
      </c>
      <c r="Y17">
        <v>1.57</v>
      </c>
      <c r="AB17">
        <v>2.02</v>
      </c>
      <c r="AI17">
        <v>100</v>
      </c>
      <c r="AJ17">
        <v>85</v>
      </c>
      <c r="AK17">
        <v>100</v>
      </c>
      <c r="AM17">
        <v>90</v>
      </c>
      <c r="AO17">
        <v>86</v>
      </c>
      <c r="AR17">
        <v>10</v>
      </c>
    </row>
    <row r="18" spans="1:44" x14ac:dyDescent="0.2">
      <c r="B18">
        <v>3.7448979591836733</v>
      </c>
      <c r="C18">
        <v>13.863636363636363</v>
      </c>
      <c r="E18">
        <v>5.9945504087193457</v>
      </c>
      <c r="G18">
        <v>6.4019607843137258</v>
      </c>
      <c r="J18">
        <v>2.6771653543307088</v>
      </c>
      <c r="T18">
        <v>1.1200000000000001</v>
      </c>
      <c r="U18">
        <v>1.02</v>
      </c>
      <c r="W18">
        <v>0.99</v>
      </c>
      <c r="Y18">
        <v>1.58</v>
      </c>
      <c r="AB18">
        <v>1.31</v>
      </c>
      <c r="AJ18">
        <v>24</v>
      </c>
      <c r="AK18">
        <v>100</v>
      </c>
      <c r="AM18">
        <v>95</v>
      </c>
      <c r="AO18">
        <v>27</v>
      </c>
      <c r="AR18">
        <v>44</v>
      </c>
    </row>
    <row r="19" spans="1:44" x14ac:dyDescent="0.2">
      <c r="B19">
        <v>4.8045397225725095</v>
      </c>
      <c r="C19">
        <v>14.700854700854702</v>
      </c>
      <c r="E19">
        <v>8.045045045045045</v>
      </c>
      <c r="G19">
        <v>3.4885496183206111</v>
      </c>
      <c r="J19">
        <v>19.813829787234042</v>
      </c>
      <c r="T19">
        <v>1.45</v>
      </c>
      <c r="U19">
        <v>1.01</v>
      </c>
      <c r="W19">
        <v>0.94</v>
      </c>
      <c r="Y19">
        <v>1.64</v>
      </c>
      <c r="AB19">
        <v>1.01</v>
      </c>
      <c r="AJ19">
        <v>48</v>
      </c>
      <c r="AK19">
        <v>100</v>
      </c>
      <c r="AM19">
        <v>100</v>
      </c>
      <c r="AO19">
        <v>31</v>
      </c>
      <c r="AR19">
        <v>58</v>
      </c>
    </row>
    <row r="20" spans="1:44" x14ac:dyDescent="0.2">
      <c r="B20">
        <v>6.3626834381551367</v>
      </c>
      <c r="C20">
        <v>7.333333333333333</v>
      </c>
      <c r="E20">
        <v>8.4347826086956506</v>
      </c>
      <c r="G20">
        <v>7.1304347826086953</v>
      </c>
      <c r="J20">
        <v>7.309236947791165</v>
      </c>
      <c r="T20">
        <v>1.27</v>
      </c>
      <c r="U20">
        <v>0.99</v>
      </c>
      <c r="W20">
        <v>0.89</v>
      </c>
      <c r="Y20">
        <v>1.86</v>
      </c>
      <c r="AB20">
        <v>0.82</v>
      </c>
      <c r="AJ20">
        <v>46</v>
      </c>
      <c r="AK20">
        <v>56</v>
      </c>
      <c r="AM20">
        <v>100</v>
      </c>
      <c r="AO20">
        <v>10</v>
      </c>
      <c r="AR20">
        <v>100</v>
      </c>
    </row>
    <row r="21" spans="1:44" x14ac:dyDescent="0.2">
      <c r="B21">
        <v>7.6279650436953812</v>
      </c>
      <c r="C21">
        <v>9.5172413793103452</v>
      </c>
      <c r="E21">
        <v>12.589928057553957</v>
      </c>
      <c r="G21">
        <v>6.7368421052631575</v>
      </c>
      <c r="J21">
        <v>10</v>
      </c>
      <c r="T21">
        <v>1.02</v>
      </c>
      <c r="U21">
        <v>0.99</v>
      </c>
      <c r="W21">
        <v>1.08</v>
      </c>
      <c r="Y21">
        <v>1.93</v>
      </c>
      <c r="AB21">
        <v>0.83</v>
      </c>
      <c r="AJ21">
        <v>94</v>
      </c>
      <c r="AK21">
        <v>100</v>
      </c>
      <c r="AM21">
        <v>100</v>
      </c>
      <c r="AO21">
        <v>17</v>
      </c>
      <c r="AR21">
        <v>81</v>
      </c>
    </row>
    <row r="22" spans="1:44" x14ac:dyDescent="0.2">
      <c r="B22">
        <v>1.8555240793201133</v>
      </c>
      <c r="C22">
        <v>10.263157894736842</v>
      </c>
      <c r="E22">
        <v>12.767857142857144</v>
      </c>
      <c r="J22">
        <v>16.893203883495143</v>
      </c>
      <c r="T22">
        <v>0</v>
      </c>
      <c r="U22">
        <v>1.04</v>
      </c>
      <c r="W22">
        <v>1.04</v>
      </c>
      <c r="AB22">
        <v>1.82</v>
      </c>
      <c r="AJ22">
        <v>0</v>
      </c>
      <c r="AK22">
        <v>100</v>
      </c>
      <c r="AM22">
        <v>100</v>
      </c>
      <c r="AR22">
        <v>11</v>
      </c>
    </row>
    <row r="23" spans="1:44" x14ac:dyDescent="0.2">
      <c r="B23">
        <v>2.8272251308900525</v>
      </c>
      <c r="C23">
        <v>10.098522167487685</v>
      </c>
      <c r="E23">
        <v>20.276008492569002</v>
      </c>
      <c r="J23">
        <v>18.668252080856124</v>
      </c>
      <c r="T23">
        <v>0</v>
      </c>
      <c r="U23">
        <v>1.01</v>
      </c>
      <c r="W23">
        <v>0.94</v>
      </c>
      <c r="AB23">
        <v>0.97</v>
      </c>
      <c r="AJ23">
        <v>0</v>
      </c>
      <c r="AK23">
        <v>100</v>
      </c>
      <c r="AM23">
        <v>100</v>
      </c>
      <c r="AR23">
        <v>100</v>
      </c>
    </row>
    <row r="24" spans="1:44" x14ac:dyDescent="0.2">
      <c r="B24">
        <v>7.6897689768976898</v>
      </c>
      <c r="C24">
        <v>4.3949044585987265</v>
      </c>
      <c r="E24">
        <v>15.483870967741936</v>
      </c>
      <c r="T24">
        <v>1.24</v>
      </c>
      <c r="U24">
        <v>0.94</v>
      </c>
      <c r="W24">
        <v>0.99</v>
      </c>
      <c r="AJ24">
        <v>28</v>
      </c>
      <c r="AK24">
        <v>100</v>
      </c>
      <c r="AM24">
        <v>100</v>
      </c>
    </row>
    <row r="25" spans="1:44" x14ac:dyDescent="0.2">
      <c r="B25">
        <v>8.4104046242774562</v>
      </c>
      <c r="C25">
        <v>4.3726235741444865</v>
      </c>
      <c r="T25">
        <v>0.94</v>
      </c>
      <c r="U25">
        <v>1.17</v>
      </c>
      <c r="AJ25">
        <v>100</v>
      </c>
      <c r="AK25">
        <v>100</v>
      </c>
    </row>
    <row r="26" spans="1:44" x14ac:dyDescent="0.2">
      <c r="B26">
        <v>1.8089171974522291</v>
      </c>
      <c r="C26">
        <v>5.9217877094972069</v>
      </c>
      <c r="T26">
        <v>1.36</v>
      </c>
      <c r="U26">
        <v>1.48</v>
      </c>
      <c r="AJ26">
        <v>55</v>
      </c>
      <c r="AK26">
        <v>100</v>
      </c>
    </row>
    <row r="27" spans="1:44" x14ac:dyDescent="0.2">
      <c r="B27">
        <v>3.2725060827250609</v>
      </c>
      <c r="C27">
        <v>5.3783783783783781</v>
      </c>
      <c r="T27">
        <v>1.24</v>
      </c>
      <c r="U27">
        <v>1.1599999999999999</v>
      </c>
      <c r="AJ27">
        <v>23</v>
      </c>
      <c r="AK27">
        <v>100</v>
      </c>
    </row>
    <row r="28" spans="1:44" x14ac:dyDescent="0.2">
      <c r="B28">
        <v>2.7586206896551726</v>
      </c>
      <c r="C28">
        <v>7.6276276276276267</v>
      </c>
      <c r="T28">
        <v>1.48</v>
      </c>
      <c r="U28">
        <v>1.08</v>
      </c>
      <c r="AJ28">
        <v>35</v>
      </c>
      <c r="AK28">
        <v>68</v>
      </c>
    </row>
    <row r="29" spans="1:44" x14ac:dyDescent="0.2">
      <c r="B29">
        <v>1.6594827586206899</v>
      </c>
      <c r="C29">
        <v>5.457746478873239</v>
      </c>
      <c r="T29">
        <v>1.27</v>
      </c>
      <c r="U29">
        <v>0.99</v>
      </c>
      <c r="AJ29">
        <v>47</v>
      </c>
      <c r="AK29">
        <v>100</v>
      </c>
    </row>
    <row r="30" spans="1:44" x14ac:dyDescent="0.2">
      <c r="B30">
        <v>8.4552845528455283</v>
      </c>
      <c r="C30">
        <v>14.17910447761194</v>
      </c>
      <c r="T30">
        <v>0.91</v>
      </c>
      <c r="U30">
        <v>1.32</v>
      </c>
      <c r="AJ30">
        <v>100</v>
      </c>
      <c r="AK30">
        <v>84</v>
      </c>
    </row>
    <row r="31" spans="1:44" x14ac:dyDescent="0.2">
      <c r="B31">
        <v>5.28</v>
      </c>
      <c r="C31">
        <v>1.679611650485437</v>
      </c>
      <c r="T31">
        <v>1.1599999999999999</v>
      </c>
      <c r="U31">
        <v>1.0900000000000001</v>
      </c>
      <c r="AJ31">
        <v>59</v>
      </c>
      <c r="AK31">
        <v>29</v>
      </c>
    </row>
    <row r="32" spans="1:44" x14ac:dyDescent="0.2">
      <c r="B32">
        <v>8.7586206896551726</v>
      </c>
      <c r="C32">
        <v>16.242038216560509</v>
      </c>
      <c r="T32">
        <v>0.94</v>
      </c>
      <c r="U32">
        <v>0.94</v>
      </c>
      <c r="AJ32">
        <v>100</v>
      </c>
      <c r="AK32">
        <v>100</v>
      </c>
    </row>
    <row r="33" spans="2:37" x14ac:dyDescent="0.2">
      <c r="B33">
        <v>2.5303867403314917</v>
      </c>
      <c r="C33">
        <v>3.6946760744066713</v>
      </c>
      <c r="T33">
        <v>1.49</v>
      </c>
      <c r="U33">
        <v>2.0099999999999998</v>
      </c>
      <c r="AJ33">
        <v>20</v>
      </c>
      <c r="AK33">
        <v>28</v>
      </c>
    </row>
    <row r="34" spans="2:37" x14ac:dyDescent="0.2">
      <c r="B34">
        <v>3.7809523809523813</v>
      </c>
      <c r="C34">
        <v>3.323485967503693</v>
      </c>
      <c r="T34">
        <v>1.79</v>
      </c>
      <c r="U34">
        <v>0.94</v>
      </c>
      <c r="AJ34">
        <v>53</v>
      </c>
      <c r="AK34">
        <v>78</v>
      </c>
    </row>
    <row r="35" spans="2:37" x14ac:dyDescent="0.2">
      <c r="B35">
        <v>4.692982456140351</v>
      </c>
      <c r="C35">
        <v>14.097222222222221</v>
      </c>
      <c r="T35">
        <v>1.21</v>
      </c>
      <c r="U35">
        <v>0.9</v>
      </c>
      <c r="AJ35">
        <v>33</v>
      </c>
      <c r="AK35">
        <v>100</v>
      </c>
    </row>
    <row r="36" spans="2:37" x14ac:dyDescent="0.2">
      <c r="B36">
        <v>5.4335894621295289</v>
      </c>
      <c r="C36">
        <v>3.3928571428571428</v>
      </c>
      <c r="T36">
        <v>0.99</v>
      </c>
      <c r="U36">
        <v>0.97</v>
      </c>
      <c r="AJ36">
        <v>17</v>
      </c>
      <c r="AK36">
        <v>97</v>
      </c>
    </row>
    <row r="37" spans="2:37" x14ac:dyDescent="0.2">
      <c r="C37">
        <v>2.93124246079614</v>
      </c>
      <c r="U37">
        <v>0.94</v>
      </c>
      <c r="AK37">
        <v>91</v>
      </c>
    </row>
    <row r="38" spans="2:37" x14ac:dyDescent="0.2">
      <c r="C38">
        <v>6.0616438356164384</v>
      </c>
      <c r="U38">
        <v>0.94</v>
      </c>
      <c r="AK38">
        <v>100</v>
      </c>
    </row>
    <row r="39" spans="2:37" x14ac:dyDescent="0.2">
      <c r="C39">
        <v>3.6445497630331753</v>
      </c>
      <c r="U39">
        <v>1.17</v>
      </c>
      <c r="AK39">
        <v>100</v>
      </c>
    </row>
  </sheetData>
  <sortState xmlns:xlrd2="http://schemas.microsoft.com/office/spreadsheetml/2017/richdata2" ref="AS2:AS15">
    <sortCondition ref="AS2:AS1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33137EA136B4EAEAA29EAF09EF6D3" ma:contentTypeVersion="16" ma:contentTypeDescription="Create a new document." ma:contentTypeScope="" ma:versionID="115aae052697f12deaf8f253dc047ca3">
  <xsd:schema xmlns:xsd="http://www.w3.org/2001/XMLSchema" xmlns:xs="http://www.w3.org/2001/XMLSchema" xmlns:p="http://schemas.microsoft.com/office/2006/metadata/properties" xmlns:ns3="567fd55e-28b3-4f99-9033-10a5dea95629" xmlns:ns4="31b1f72b-43dd-47e3-ad6d-fc97b40b6472" targetNamespace="http://schemas.microsoft.com/office/2006/metadata/properties" ma:root="true" ma:fieldsID="eb793c49069fa66f60bb80230b3c6124" ns3:_="" ns4:_="">
    <xsd:import namespace="567fd55e-28b3-4f99-9033-10a5dea95629"/>
    <xsd:import namespace="31b1f72b-43dd-47e3-ad6d-fc97b40b64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fd55e-28b3-4f99-9033-10a5dea95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1f72b-43dd-47e3-ad6d-fc97b40b64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7fd55e-28b3-4f99-9033-10a5dea956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CD5A72-D557-4112-9BC5-3F9DA269D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fd55e-28b3-4f99-9033-10a5dea95629"/>
    <ds:schemaRef ds:uri="31b1f72b-43dd-47e3-ad6d-fc97b40b64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F10EFA-A92F-402B-9266-BC4BECEFD012}">
  <ds:schemaRefs>
    <ds:schemaRef ds:uri="http://schemas.microsoft.com/office/2006/metadata/properties"/>
    <ds:schemaRef ds:uri="http://schemas.microsoft.com/office/infopath/2007/PartnerControls"/>
    <ds:schemaRef ds:uri="567fd55e-28b3-4f99-9033-10a5dea95629"/>
  </ds:schemaRefs>
</ds:datastoreItem>
</file>

<file path=customXml/itemProps3.xml><?xml version="1.0" encoding="utf-8"?>
<ds:datastoreItem xmlns:ds="http://schemas.openxmlformats.org/officeDocument/2006/customXml" ds:itemID="{321D8BFD-798E-41ED-A834-BE42436F68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For Code Plots</vt:lpstr>
      <vt:lpstr>For Boxplots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Lopez</dc:creator>
  <cp:keywords/>
  <dc:description/>
  <cp:lastModifiedBy>Juan Lopez</cp:lastModifiedBy>
  <cp:revision/>
  <dcterms:created xsi:type="dcterms:W3CDTF">2024-08-13T18:49:09Z</dcterms:created>
  <dcterms:modified xsi:type="dcterms:W3CDTF">2025-09-30T14:59:24Z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0x01010093533137EA136B4EAEAA29EAF09EF6D3</vt:lpwstr>
  </property>
</Properties>
</file>